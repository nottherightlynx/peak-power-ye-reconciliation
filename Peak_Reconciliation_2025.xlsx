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_Subledger" sheetId="1" r:id="rId4"/>
    <sheet state="visible" name="Bank_Txns" sheetId="2" r:id="rId5"/>
    <sheet state="visible" name="GL_AP_Control" sheetId="3" r:id="rId6"/>
    <sheet state="visible" name="Tax_Detail" sheetId="4" r:id="rId7"/>
    <sheet state="visible" name="Tax_Rates_Reference" sheetId="5" r:id="rId8"/>
    <sheet state="visible" name="GL_Trial_Balance_Summary" sheetId="6" r:id="rId9"/>
    <sheet state="visible" name="Lease_Pivot" sheetId="7" r:id="rId10"/>
    <sheet state="visible" name="Lease_Schedule" sheetId="8" r:id="rId11"/>
    <sheet state="visible" name="Reconciliation_Summary" sheetId="9" r:id="rId12"/>
  </sheets>
  <definedNames/>
  <calcPr/>
  <pivotCaches>
    <pivotCache cacheId="0" r:id="rId13"/>
  </pivotCaches>
</workbook>
</file>

<file path=xl/sharedStrings.xml><?xml version="1.0" encoding="utf-8"?>
<sst xmlns="http://schemas.openxmlformats.org/spreadsheetml/2006/main" count="5468" uniqueCount="1508">
  <si>
    <t>Invoice_ID</t>
  </si>
  <si>
    <t>Vendor</t>
  </si>
  <si>
    <t>Invoice_Date</t>
  </si>
  <si>
    <t>Due_Date</t>
  </si>
  <si>
    <t>Project_ID</t>
  </si>
  <si>
    <t>GL_Account</t>
  </si>
  <si>
    <t>Amount_Before_Tax</t>
  </si>
  <si>
    <t>Tax_Jurisdiction</t>
  </si>
  <si>
    <t>Tax_Amount</t>
  </si>
  <si>
    <t>Total_Invoice_Amount</t>
  </si>
  <si>
    <t>Paid_Flag</t>
  </si>
  <si>
    <t>Paid_Date</t>
  </si>
  <si>
    <t>Expected_Total</t>
  </si>
  <si>
    <t>Total_Mismatch_Flag</t>
  </si>
  <si>
    <t>Unpaid_AsOfYE</t>
  </si>
  <si>
    <t>AP_Match_Key</t>
  </si>
  <si>
    <t>Bank_Match_Status</t>
  </si>
  <si>
    <t>INV2025-0001</t>
  </si>
  <si>
    <t>Tri-County Services</t>
  </si>
  <si>
    <t>PRJ-1001</t>
  </si>
  <si>
    <t>5200-Subcontractors</t>
  </si>
  <si>
    <t>Pinellas</t>
  </si>
  <si>
    <t>INV2025-0002</t>
  </si>
  <si>
    <t>Atlantic Fiber Co</t>
  </si>
  <si>
    <t>2100-AP-Trade</t>
  </si>
  <si>
    <t>Other_FL</t>
  </si>
  <si>
    <t>INV2025-0003</t>
  </si>
  <si>
    <t>Sunline Electrical</t>
  </si>
  <si>
    <t>5100-Materials</t>
  </si>
  <si>
    <t>INV2025-0004</t>
  </si>
  <si>
    <t>Tidal Contractors</t>
  </si>
  <si>
    <t>PRJ-4003</t>
  </si>
  <si>
    <t>9999-Suspense</t>
  </si>
  <si>
    <t>INV2025-0005</t>
  </si>
  <si>
    <t>Hillsborough</t>
  </si>
  <si>
    <t>INV2025-0006</t>
  </si>
  <si>
    <t>Tampa Grid Services</t>
  </si>
  <si>
    <t>PRJ-2001</t>
  </si>
  <si>
    <t>INV2025-0007</t>
  </si>
  <si>
    <t>INV2025-0008</t>
  </si>
  <si>
    <t>Gulf Coast Telecom</t>
  </si>
  <si>
    <t>INV2025-0009</t>
  </si>
  <si>
    <t>BrightPower Partners</t>
  </si>
  <si>
    <t>INV2025-0010</t>
  </si>
  <si>
    <t>INV2025-0011</t>
  </si>
  <si>
    <t>Orange</t>
  </si>
  <si>
    <t>INV2025-0012</t>
  </si>
  <si>
    <t>5300-Equipment-Rental</t>
  </si>
  <si>
    <t>INV2025-0013</t>
  </si>
  <si>
    <t>Sunshine Equipment</t>
  </si>
  <si>
    <t>PRJ-1002</t>
  </si>
  <si>
    <t>6000-Misc-Expense</t>
  </si>
  <si>
    <t>INV2025-0014</t>
  </si>
  <si>
    <t>INV2025-0015</t>
  </si>
  <si>
    <t>PRJ-3005</t>
  </si>
  <si>
    <t>INV2025-0016</t>
  </si>
  <si>
    <t>INV2025-0017</t>
  </si>
  <si>
    <t>Florida Line Crew LLC</t>
  </si>
  <si>
    <t>INV2025-0018</t>
  </si>
  <si>
    <t>Skyline Engineering</t>
  </si>
  <si>
    <t>8900-Other</t>
  </si>
  <si>
    <t>INV2025-0019</t>
  </si>
  <si>
    <t>Bay Area Rentals</t>
  </si>
  <si>
    <t>INV2025-0020</t>
  </si>
  <si>
    <t>INV2025-0021</t>
  </si>
  <si>
    <t>INV2025-0022</t>
  </si>
  <si>
    <t>INV2025-0023</t>
  </si>
  <si>
    <t>INV2025-0024</t>
  </si>
  <si>
    <t>INV2025-0025</t>
  </si>
  <si>
    <t>INV2025-0026</t>
  </si>
  <si>
    <t>INV2025-0027</t>
  </si>
  <si>
    <t>INV2025-0028</t>
  </si>
  <si>
    <t>INV2025-0029</t>
  </si>
  <si>
    <t>INV2025-0030</t>
  </si>
  <si>
    <t>INV2025-0031</t>
  </si>
  <si>
    <t>INV2025-0032</t>
  </si>
  <si>
    <t>INV2025-0033</t>
  </si>
  <si>
    <t>INV2025-0034</t>
  </si>
  <si>
    <t>INV2025-0035</t>
  </si>
  <si>
    <t>INV2025-0036</t>
  </si>
  <si>
    <t>INV2025-0037</t>
  </si>
  <si>
    <t>INV2025-0038</t>
  </si>
  <si>
    <t>INV2025-0039</t>
  </si>
  <si>
    <t>INV2025-0040</t>
  </si>
  <si>
    <t>INV2025-0041</t>
  </si>
  <si>
    <t>INV2025-0042</t>
  </si>
  <si>
    <t>INV2025-0043</t>
  </si>
  <si>
    <t>INV2025-0044</t>
  </si>
  <si>
    <t>INV2025-0045</t>
  </si>
  <si>
    <t>INV2025-0046</t>
  </si>
  <si>
    <t>Peak Materials Supply</t>
  </si>
  <si>
    <t>INV2025-0047</t>
  </si>
  <si>
    <t>INV2025-0048</t>
  </si>
  <si>
    <t>INV2025-0049</t>
  </si>
  <si>
    <t>INV2025-0050</t>
  </si>
  <si>
    <t>INV2025-0051</t>
  </si>
  <si>
    <t>INV2025-0052</t>
  </si>
  <si>
    <t>INV2025-0053</t>
  </si>
  <si>
    <t>INV2025-0054</t>
  </si>
  <si>
    <t>INV2025-0055</t>
  </si>
  <si>
    <t>INV2025-0056</t>
  </si>
  <si>
    <t>INV2025-0057</t>
  </si>
  <si>
    <t>INV2025-0058</t>
  </si>
  <si>
    <t>INV2025-0059</t>
  </si>
  <si>
    <t>INV2025-0060</t>
  </si>
  <si>
    <t>INV2025-0061</t>
  </si>
  <si>
    <t>INV2025-0062</t>
  </si>
  <si>
    <t>INV2025-0063</t>
  </si>
  <si>
    <t>INV2025-0064</t>
  </si>
  <si>
    <t>INV2025-0065</t>
  </si>
  <si>
    <t>INV2025-0066</t>
  </si>
  <si>
    <t>INV2025-0067</t>
  </si>
  <si>
    <t>INV2025-0068</t>
  </si>
  <si>
    <t>INV2025-0069</t>
  </si>
  <si>
    <t>INV2025-0070</t>
  </si>
  <si>
    <t>INV2025-0071</t>
  </si>
  <si>
    <t>INV2025-0072</t>
  </si>
  <si>
    <t>INV2025-0073</t>
  </si>
  <si>
    <t>INV2025-0074</t>
  </si>
  <si>
    <t>INV2025-0075</t>
  </si>
  <si>
    <t>INV2025-0076</t>
  </si>
  <si>
    <t>INV2025-0077</t>
  </si>
  <si>
    <t>INV2025-0078</t>
  </si>
  <si>
    <t>INV2025-0079</t>
  </si>
  <si>
    <t>INV2025-0080</t>
  </si>
  <si>
    <t>INV2025-0081</t>
  </si>
  <si>
    <t>INV2025-0082</t>
  </si>
  <si>
    <t>INV2025-0083</t>
  </si>
  <si>
    <t>INV2025-0084</t>
  </si>
  <si>
    <t>INV2025-0085</t>
  </si>
  <si>
    <t>INV2025-0086</t>
  </si>
  <si>
    <t>INV2025-0087</t>
  </si>
  <si>
    <t>INV2025-0088</t>
  </si>
  <si>
    <t>INV2025-0089</t>
  </si>
  <si>
    <t>INV2025-0090</t>
  </si>
  <si>
    <t>INV2025-0091</t>
  </si>
  <si>
    <t>INV2025-0092</t>
  </si>
  <si>
    <t>INV2025-0093</t>
  </si>
  <si>
    <t>INV2025-0094</t>
  </si>
  <si>
    <t>INV2025-0095</t>
  </si>
  <si>
    <t>INV2025-0096</t>
  </si>
  <si>
    <t>INV2025-0097</t>
  </si>
  <si>
    <t>INV2025-0098</t>
  </si>
  <si>
    <t>INV2025-0099</t>
  </si>
  <si>
    <t>INV2025-0100</t>
  </si>
  <si>
    <t>INV2025-0101</t>
  </si>
  <si>
    <t>INV2025-0102</t>
  </si>
  <si>
    <t>INV2025-0103</t>
  </si>
  <si>
    <t>INV2025-0104</t>
  </si>
  <si>
    <t>INV2025-0105</t>
  </si>
  <si>
    <t>INV2025-0106</t>
  </si>
  <si>
    <t>INV2025-0107</t>
  </si>
  <si>
    <t>INV2025-0108</t>
  </si>
  <si>
    <t>INV2025-0109</t>
  </si>
  <si>
    <t>INV2025-0110</t>
  </si>
  <si>
    <t>INV2025-0111</t>
  </si>
  <si>
    <t>INV2025-0112</t>
  </si>
  <si>
    <t>INV2025-0113</t>
  </si>
  <si>
    <t>INV2025-0114</t>
  </si>
  <si>
    <t>INV2025-0115</t>
  </si>
  <si>
    <t>INV2025-0116</t>
  </si>
  <si>
    <t>INV2025-0117</t>
  </si>
  <si>
    <t>INV2025-0118</t>
  </si>
  <si>
    <t>INV2025-0119</t>
  </si>
  <si>
    <t>INV2025-0120</t>
  </si>
  <si>
    <t>INV2025-0121</t>
  </si>
  <si>
    <t>INV2025-0122</t>
  </si>
  <si>
    <t>INV2025-0123</t>
  </si>
  <si>
    <t>INV2025-0124</t>
  </si>
  <si>
    <t>INV2025-0125</t>
  </si>
  <si>
    <t>INV2025-0126</t>
  </si>
  <si>
    <t>INV2025-0127</t>
  </si>
  <si>
    <t>INV2025-0128</t>
  </si>
  <si>
    <t>INV2025-0129</t>
  </si>
  <si>
    <t>INV2025-0130</t>
  </si>
  <si>
    <t>INV2025-0131</t>
  </si>
  <si>
    <t>INV2025-0132</t>
  </si>
  <si>
    <t>INV2025-0133</t>
  </si>
  <si>
    <t>INV2025-0134</t>
  </si>
  <si>
    <t>INV2025-0135</t>
  </si>
  <si>
    <t>INV2025-0136</t>
  </si>
  <si>
    <t>INV2025-0137</t>
  </si>
  <si>
    <t>INV2025-0138</t>
  </si>
  <si>
    <t>INV2025-0139</t>
  </si>
  <si>
    <t>INV2025-0140</t>
  </si>
  <si>
    <t>INV2025-0141</t>
  </si>
  <si>
    <t>INV2025-0142</t>
  </si>
  <si>
    <t>INV2025-0143</t>
  </si>
  <si>
    <t>INV2025-0144</t>
  </si>
  <si>
    <t>INV2025-0145</t>
  </si>
  <si>
    <t>INV2025-0146</t>
  </si>
  <si>
    <t>INV2025-0147</t>
  </si>
  <si>
    <t>INV2025-0148</t>
  </si>
  <si>
    <t>INV2025-0149</t>
  </si>
  <si>
    <t>INV2025-0150</t>
  </si>
  <si>
    <t>INV2025-0151</t>
  </si>
  <si>
    <t>INV2025-0152</t>
  </si>
  <si>
    <t>INV2025-0153</t>
  </si>
  <si>
    <t>INV2025-0154</t>
  </si>
  <si>
    <t>INV2025-0155</t>
  </si>
  <si>
    <t>INV2025-0156</t>
  </si>
  <si>
    <t>INV2025-0157</t>
  </si>
  <si>
    <t>INV2025-0158</t>
  </si>
  <si>
    <t>INV2025-0159</t>
  </si>
  <si>
    <t>INV2025-0160</t>
  </si>
  <si>
    <t>INV2025-0161</t>
  </si>
  <si>
    <t>INV2025-0162</t>
  </si>
  <si>
    <t>INV2025-0163</t>
  </si>
  <si>
    <t>INV2025-0164</t>
  </si>
  <si>
    <t>INV2025-0165</t>
  </si>
  <si>
    <t>INV2025-0166</t>
  </si>
  <si>
    <t>INV2025-0167</t>
  </si>
  <si>
    <t>INV2025-0168</t>
  </si>
  <si>
    <t>INV2025-0169</t>
  </si>
  <si>
    <t>INV2025-0170</t>
  </si>
  <si>
    <t>INV2025-0171</t>
  </si>
  <si>
    <t>INV2025-0172</t>
  </si>
  <si>
    <t>INV2025-0173</t>
  </si>
  <si>
    <t>INV2025-0174</t>
  </si>
  <si>
    <t>INV2025-0175</t>
  </si>
  <si>
    <t>INV2025-0176</t>
  </si>
  <si>
    <t>INV2025-0177</t>
  </si>
  <si>
    <t>INV2025-0178</t>
  </si>
  <si>
    <t>INV2025-0179</t>
  </si>
  <si>
    <t>INV2025-0180</t>
  </si>
  <si>
    <t>INV2025-0181</t>
  </si>
  <si>
    <t>INV2025-0182</t>
  </si>
  <si>
    <t>INV2025-0183</t>
  </si>
  <si>
    <t>INV2025-0184</t>
  </si>
  <si>
    <t>INV2025-0185</t>
  </si>
  <si>
    <t>INV2025-0186</t>
  </si>
  <si>
    <t>INV2025-0187</t>
  </si>
  <si>
    <t>INV2025-0188</t>
  </si>
  <si>
    <t>INV2025-0189</t>
  </si>
  <si>
    <t>INV2025-0190</t>
  </si>
  <si>
    <t>INV2025-0191</t>
  </si>
  <si>
    <t>INV2025-0192</t>
  </si>
  <si>
    <t>INV2025-0193</t>
  </si>
  <si>
    <t>INV2025-0194</t>
  </si>
  <si>
    <t>INV2025-0195</t>
  </si>
  <si>
    <t>INV2025-0196</t>
  </si>
  <si>
    <t>INV2025-0197</t>
  </si>
  <si>
    <t>INV2025-0198</t>
  </si>
  <si>
    <t>INV2025-0199</t>
  </si>
  <si>
    <t>INV2025-0200</t>
  </si>
  <si>
    <t>INV2025-0201</t>
  </si>
  <si>
    <t>INV2025-0202</t>
  </si>
  <si>
    <t>INV2025-0203</t>
  </si>
  <si>
    <t>INV2025-0204</t>
  </si>
  <si>
    <t>INV2025-0205</t>
  </si>
  <si>
    <t>INV2025-0206</t>
  </si>
  <si>
    <t>INV2025-0207</t>
  </si>
  <si>
    <t>INV2025-0208</t>
  </si>
  <si>
    <t>INV2025-0209</t>
  </si>
  <si>
    <t>INV2025-0210</t>
  </si>
  <si>
    <t>INV2025-0211</t>
  </si>
  <si>
    <t>INV2025-0212</t>
  </si>
  <si>
    <t>INV2025-0213</t>
  </si>
  <si>
    <t>INV2025-0214</t>
  </si>
  <si>
    <t>INV2025-0215</t>
  </si>
  <si>
    <t>INV2025-0216</t>
  </si>
  <si>
    <t>INV2025-0217</t>
  </si>
  <si>
    <t>INV2025-0218</t>
  </si>
  <si>
    <t>INV2025-0219</t>
  </si>
  <si>
    <t>INV2025-0220</t>
  </si>
  <si>
    <t>INV2025-0221</t>
  </si>
  <si>
    <t>INV2025-0222</t>
  </si>
  <si>
    <t>INV2025-0223</t>
  </si>
  <si>
    <t>INV2025-0224</t>
  </si>
  <si>
    <t>INV2025-0225</t>
  </si>
  <si>
    <t>INV2025-0226</t>
  </si>
  <si>
    <t>INV2025-0227</t>
  </si>
  <si>
    <t>INV2025-0228</t>
  </si>
  <si>
    <t>INV2025-0229</t>
  </si>
  <si>
    <t>INV2025-0230</t>
  </si>
  <si>
    <t>INV2025-0231</t>
  </si>
  <si>
    <t>INV2025-0232</t>
  </si>
  <si>
    <t>INV2025-0233</t>
  </si>
  <si>
    <t>INV2025-0234</t>
  </si>
  <si>
    <t>INV2025-0235</t>
  </si>
  <si>
    <t>INV2025-0236</t>
  </si>
  <si>
    <t>INV2025-0237</t>
  </si>
  <si>
    <t>INV2025-0238</t>
  </si>
  <si>
    <t>INV2025-0239</t>
  </si>
  <si>
    <t>INV2025-0240</t>
  </si>
  <si>
    <t>INV2025-0241</t>
  </si>
  <si>
    <t>INV2025-0242</t>
  </si>
  <si>
    <t>INV2025-0243</t>
  </si>
  <si>
    <t>INV2025-0244</t>
  </si>
  <si>
    <t>INV2025-0245</t>
  </si>
  <si>
    <t>INV2025-0246</t>
  </si>
  <si>
    <t>INV2025-0247</t>
  </si>
  <si>
    <t>INV2025-0248</t>
  </si>
  <si>
    <t>INV2025-0249</t>
  </si>
  <si>
    <t>INV2025-0250</t>
  </si>
  <si>
    <t>INV2025-0251</t>
  </si>
  <si>
    <t>INV2025-0252</t>
  </si>
  <si>
    <t>INV2025-0253</t>
  </si>
  <si>
    <t>INV2025-0254</t>
  </si>
  <si>
    <t>INV2025-0255</t>
  </si>
  <si>
    <t>INV2025-0256</t>
  </si>
  <si>
    <t>INV2025-0257</t>
  </si>
  <si>
    <t>INV2025-0258</t>
  </si>
  <si>
    <t>INV2025-0259</t>
  </si>
  <si>
    <t>INV2025-0260</t>
  </si>
  <si>
    <t>INV2025-0261</t>
  </si>
  <si>
    <t>INV2025-0262</t>
  </si>
  <si>
    <t>INV2025-0263</t>
  </si>
  <si>
    <t>INV2025-0264</t>
  </si>
  <si>
    <t>INV2025-0265</t>
  </si>
  <si>
    <t>INV2025-0266</t>
  </si>
  <si>
    <t>INV2025-0267</t>
  </si>
  <si>
    <t>INV2025-0268</t>
  </si>
  <si>
    <t>INV2025-0269</t>
  </si>
  <si>
    <t>INV2025-0270</t>
  </si>
  <si>
    <t>INV2025-0271</t>
  </si>
  <si>
    <t>INV2025-0272</t>
  </si>
  <si>
    <t>INV2025-0273</t>
  </si>
  <si>
    <t>INV2025-0274</t>
  </si>
  <si>
    <t>INV2025-0275</t>
  </si>
  <si>
    <t>INV2025-0276</t>
  </si>
  <si>
    <t>INV2025-0277</t>
  </si>
  <si>
    <t>INV2025-0278</t>
  </si>
  <si>
    <t>INV2025-0279</t>
  </si>
  <si>
    <t>INV2025-0280</t>
  </si>
  <si>
    <t>INV2025-0281</t>
  </si>
  <si>
    <t>INV2025-0282</t>
  </si>
  <si>
    <t>INV2025-0283</t>
  </si>
  <si>
    <t>INV2025-0284</t>
  </si>
  <si>
    <t>INV2025-0285</t>
  </si>
  <si>
    <t>INV2025-0286</t>
  </si>
  <si>
    <t>INV2025-0287</t>
  </si>
  <si>
    <t>INV2025-0288</t>
  </si>
  <si>
    <t>INV2025-0289</t>
  </si>
  <si>
    <t>INV2025-0290</t>
  </si>
  <si>
    <t>INV2025-0291</t>
  </si>
  <si>
    <t>INV2025-0292</t>
  </si>
  <si>
    <t>INV2025-0293</t>
  </si>
  <si>
    <t>INV2025-0294</t>
  </si>
  <si>
    <t>INV2025-0295</t>
  </si>
  <si>
    <t>INV2025-0296</t>
  </si>
  <si>
    <t>INV2025-0297</t>
  </si>
  <si>
    <t>INV2025-0298</t>
  </si>
  <si>
    <t>INV2025-0299</t>
  </si>
  <si>
    <t>INV2025-0300</t>
  </si>
  <si>
    <t>INV2025-0301</t>
  </si>
  <si>
    <t>INV2025-0302</t>
  </si>
  <si>
    <t>INV2025-0303</t>
  </si>
  <si>
    <t>INV2025-0304</t>
  </si>
  <si>
    <t>INV2025-0305</t>
  </si>
  <si>
    <t>INV2025-0306</t>
  </si>
  <si>
    <t>INV2025-0307</t>
  </si>
  <si>
    <t>INV2025-0308</t>
  </si>
  <si>
    <t>INV2025-0309</t>
  </si>
  <si>
    <t>INV2025-0310</t>
  </si>
  <si>
    <t>INV2025-0311</t>
  </si>
  <si>
    <t>INV2025-0312</t>
  </si>
  <si>
    <t>INV2025-0313</t>
  </si>
  <si>
    <t>INV2025-0314</t>
  </si>
  <si>
    <t>INV2025-0315</t>
  </si>
  <si>
    <t>INV2025-0316</t>
  </si>
  <si>
    <t>INV2025-0317</t>
  </si>
  <si>
    <t>INV2025-0318</t>
  </si>
  <si>
    <t>INV2025-0319</t>
  </si>
  <si>
    <t>INV2025-0320</t>
  </si>
  <si>
    <t>INV2025-0321</t>
  </si>
  <si>
    <t>INV2025-0322</t>
  </si>
  <si>
    <t>INV2025-0323</t>
  </si>
  <si>
    <t>INV2025-0324</t>
  </si>
  <si>
    <t>INV2025-0325</t>
  </si>
  <si>
    <t>INV2025-0326</t>
  </si>
  <si>
    <t>INV2025-0327</t>
  </si>
  <si>
    <t>INV2025-0328</t>
  </si>
  <si>
    <t>INV2025-0329</t>
  </si>
  <si>
    <t>INV2025-0330</t>
  </si>
  <si>
    <t>INV2025-0331</t>
  </si>
  <si>
    <t>INV2025-0332</t>
  </si>
  <si>
    <t>INV2025-0333</t>
  </si>
  <si>
    <t>INV2025-0334</t>
  </si>
  <si>
    <t>INV2025-0335</t>
  </si>
  <si>
    <t>INV2025-0336</t>
  </si>
  <si>
    <t>INV2025-0337</t>
  </si>
  <si>
    <t>INV2025-0338</t>
  </si>
  <si>
    <t>INV2025-0339</t>
  </si>
  <si>
    <t>INV2025-0340</t>
  </si>
  <si>
    <t>INV2025-0341</t>
  </si>
  <si>
    <t>INV2025-0342</t>
  </si>
  <si>
    <t>INV2025-0343</t>
  </si>
  <si>
    <t>INV2025-0344</t>
  </si>
  <si>
    <t>INV2025-0345</t>
  </si>
  <si>
    <t>INV2025-0346</t>
  </si>
  <si>
    <t>INV2025-0347</t>
  </si>
  <si>
    <t>INV2025-0348</t>
  </si>
  <si>
    <t>INV2025-0349</t>
  </si>
  <si>
    <t>INV2025-0350</t>
  </si>
  <si>
    <t>Bank_Txn_ID</t>
  </si>
  <si>
    <t>Date</t>
  </si>
  <si>
    <t>Description</t>
  </si>
  <si>
    <t>Amount</t>
  </si>
  <si>
    <t>Check_ACH</t>
  </si>
  <si>
    <t>Cleared_Flag</t>
  </si>
  <si>
    <t>Match_Key</t>
  </si>
  <si>
    <t>Duplicate_Payment</t>
  </si>
  <si>
    <t>Duplicate_Payment_Flag</t>
  </si>
  <si>
    <t>BTXN-00001</t>
  </si>
  <si>
    <t>2025-05-08</t>
  </si>
  <si>
    <t>Payment for INV2025-0001</t>
  </si>
  <si>
    <t>ACH</t>
  </si>
  <si>
    <t>True</t>
  </si>
  <si>
    <t>BTXN-00002</t>
  </si>
  <si>
    <t>2025-05-11</t>
  </si>
  <si>
    <t>Payment for INV2025-0002</t>
  </si>
  <si>
    <t>BTXN-00003</t>
  </si>
  <si>
    <t>2025-06-22</t>
  </si>
  <si>
    <t>Payment for INV2025-0003</t>
  </si>
  <si>
    <t>Check</t>
  </si>
  <si>
    <t>BTXN-00004</t>
  </si>
  <si>
    <t>2025-09-02</t>
  </si>
  <si>
    <t>Payment for INV2025-0004</t>
  </si>
  <si>
    <t>BTXN-00005</t>
  </si>
  <si>
    <t>2025-11-26</t>
  </si>
  <si>
    <t>Payment for INV2025-0006</t>
  </si>
  <si>
    <t>BTXN-00006</t>
  </si>
  <si>
    <t>2025-09-26</t>
  </si>
  <si>
    <t>Payment for INV2025-0007</t>
  </si>
  <si>
    <t>BTXN-00007</t>
  </si>
  <si>
    <t>2025-11-02</t>
  </si>
  <si>
    <t>Payment for INV2025-0009</t>
  </si>
  <si>
    <t>BTXN-00008</t>
  </si>
  <si>
    <t>2025-09-29</t>
  </si>
  <si>
    <t>Payment for INV2025-0010</t>
  </si>
  <si>
    <t>BTXN-00009</t>
  </si>
  <si>
    <t>2025-03-10</t>
  </si>
  <si>
    <t>Payment for INV2025-0011</t>
  </si>
  <si>
    <t>BTXN-00010</t>
  </si>
  <si>
    <t>2025-11-20</t>
  </si>
  <si>
    <t>Payment for INV2025-0014</t>
  </si>
  <si>
    <t>BTXN-00011</t>
  </si>
  <si>
    <t>2025-08-24</t>
  </si>
  <si>
    <t>Payment for INV2025-0015</t>
  </si>
  <si>
    <t>BTXN-00012</t>
  </si>
  <si>
    <t>2025-11-09</t>
  </si>
  <si>
    <t>Payment for INV2025-0016</t>
  </si>
  <si>
    <t>BTXN-00013</t>
  </si>
  <si>
    <t>2025-04-10</t>
  </si>
  <si>
    <t>Payment for INV2025-0017</t>
  </si>
  <si>
    <t>BTXN-00014</t>
  </si>
  <si>
    <t>2025-08-16</t>
  </si>
  <si>
    <t>Payment for INV2025-0019</t>
  </si>
  <si>
    <t>BTXN-00015</t>
  </si>
  <si>
    <t>2025-04-11</t>
  </si>
  <si>
    <t>Payment for INV2025-0020</t>
  </si>
  <si>
    <t>BTXN-00016</t>
  </si>
  <si>
    <t>Payment for INV2025-0021</t>
  </si>
  <si>
    <t>BTXN-00017</t>
  </si>
  <si>
    <t>2025-03-12</t>
  </si>
  <si>
    <t>Payment for INV2025-0023</t>
  </si>
  <si>
    <t>BTXN-00018</t>
  </si>
  <si>
    <t>2025-09-12</t>
  </si>
  <si>
    <t>Payment for INV2025-0024</t>
  </si>
  <si>
    <t>BTXN-00019</t>
  </si>
  <si>
    <t>2025-03-09</t>
  </si>
  <si>
    <t>Payment for INV2025-0025</t>
  </si>
  <si>
    <t>BTXN-00020</t>
  </si>
  <si>
    <t>2025-04-08</t>
  </si>
  <si>
    <t>Payment for INV2025-0026</t>
  </si>
  <si>
    <t>BTXN-00021</t>
  </si>
  <si>
    <t>2025-05-13</t>
  </si>
  <si>
    <t>Payment for INV2025-0028</t>
  </si>
  <si>
    <t>BTXN-00022</t>
  </si>
  <si>
    <t>2025-10-17</t>
  </si>
  <si>
    <t>Payment for INV2025-0031</t>
  </si>
  <si>
    <t>BTXN-00023</t>
  </si>
  <si>
    <t>2025-06-05</t>
  </si>
  <si>
    <t>Payment for INV2025-0032</t>
  </si>
  <si>
    <t>BTXN-00024</t>
  </si>
  <si>
    <t>2025-04-29</t>
  </si>
  <si>
    <t>Payment for INV2025-0033</t>
  </si>
  <si>
    <t>BTXN-00025</t>
  </si>
  <si>
    <t>2025-05-15</t>
  </si>
  <si>
    <t>Payment for INV2025-0034</t>
  </si>
  <si>
    <t>BTXN-00026</t>
  </si>
  <si>
    <t>2025-05-16</t>
  </si>
  <si>
    <t>Duplicate payment for INV2025-0034</t>
  </si>
  <si>
    <t>BTXN-00027</t>
  </si>
  <si>
    <t>2025-10-16</t>
  </si>
  <si>
    <t>Payment for INV2025-0036</t>
  </si>
  <si>
    <t>BTXN-00028</t>
  </si>
  <si>
    <t>2025-10-27</t>
  </si>
  <si>
    <t>Payment for INV2025-0037</t>
  </si>
  <si>
    <t>BTXN-00029</t>
  </si>
  <si>
    <t>2025-04-14</t>
  </si>
  <si>
    <t>Payment for INV2025-0038</t>
  </si>
  <si>
    <t>BTXN-00030</t>
  </si>
  <si>
    <t>2025-06-20</t>
  </si>
  <si>
    <t>Payment for INV2025-0039</t>
  </si>
  <si>
    <t>BTXN-00031</t>
  </si>
  <si>
    <t>2025-07-10</t>
  </si>
  <si>
    <t>Payment for INV2025-0040</t>
  </si>
  <si>
    <t>BTXN-00032</t>
  </si>
  <si>
    <t>Payment for INV2025-0042</t>
  </si>
  <si>
    <t>BTXN-00033</t>
  </si>
  <si>
    <t>2025-12-17</t>
  </si>
  <si>
    <t>Payment for INV2025-0043</t>
  </si>
  <si>
    <t>BTXN-00034</t>
  </si>
  <si>
    <t>2025-02-02</t>
  </si>
  <si>
    <t>Payment for INV2025-0045</t>
  </si>
  <si>
    <t>BTXN-00035</t>
  </si>
  <si>
    <t>2025-05-22</t>
  </si>
  <si>
    <t>Payment for INV2025-0047</t>
  </si>
  <si>
    <t>BTXN-00036</t>
  </si>
  <si>
    <t>2025-08-14</t>
  </si>
  <si>
    <t>Payment for INV2025-0049</t>
  </si>
  <si>
    <t>BTXN-00037</t>
  </si>
  <si>
    <t>2025-10-25</t>
  </si>
  <si>
    <t>Payment for INV2025-0050</t>
  </si>
  <si>
    <t>BTXN-00038</t>
  </si>
  <si>
    <t>2025-06-03</t>
  </si>
  <si>
    <t>Payment for INV2025-0051</t>
  </si>
  <si>
    <t>BTXN-00039</t>
  </si>
  <si>
    <t>2025-09-07</t>
  </si>
  <si>
    <t>Payment for INV2025-0052</t>
  </si>
  <si>
    <t>BTXN-00040</t>
  </si>
  <si>
    <t>Payment for INV2025-0053</t>
  </si>
  <si>
    <t>BTXN-00041</t>
  </si>
  <si>
    <t>2025-12-04</t>
  </si>
  <si>
    <t>Payment for INV2025-0054</t>
  </si>
  <si>
    <t>BTXN-00042</t>
  </si>
  <si>
    <t>2025-05-29</t>
  </si>
  <si>
    <t>Payment for INV2025-0056</t>
  </si>
  <si>
    <t>BTXN-00043</t>
  </si>
  <si>
    <t>2025-08-05</t>
  </si>
  <si>
    <t>Payment for INV2025-0057</t>
  </si>
  <si>
    <t>BTXN-00044</t>
  </si>
  <si>
    <t>2025-08-06</t>
  </si>
  <si>
    <t>Duplicate payment for INV2025-0057</t>
  </si>
  <si>
    <t>BTXN-00045</t>
  </si>
  <si>
    <t>2025-08-07</t>
  </si>
  <si>
    <t>Payment for INV2025-0058</t>
  </si>
  <si>
    <t>BTXN-00046</t>
  </si>
  <si>
    <t>2025-04-19</t>
  </si>
  <si>
    <t>Payment for INV2025-0059</t>
  </si>
  <si>
    <t>BTXN-00047</t>
  </si>
  <si>
    <t>2025-12-29</t>
  </si>
  <si>
    <t>Payment for INV2025-0060</t>
  </si>
  <si>
    <t>BTXN-00048</t>
  </si>
  <si>
    <t>2025-05-30</t>
  </si>
  <si>
    <t>Payment for INV2025-0061</t>
  </si>
  <si>
    <t>BTXN-00049</t>
  </si>
  <si>
    <t>2025-11-07</t>
  </si>
  <si>
    <t>Payment for INV2025-0062</t>
  </si>
  <si>
    <t>BTXN-00050</t>
  </si>
  <si>
    <t>2025-11-29</t>
  </si>
  <si>
    <t>Payment for INV2025-0063</t>
  </si>
  <si>
    <t>BTXN-00051</t>
  </si>
  <si>
    <t>2025-06-27</t>
  </si>
  <si>
    <t>Payment for INV2025-0064</t>
  </si>
  <si>
    <t>BTXN-00052</t>
  </si>
  <si>
    <t>2025-10-08</t>
  </si>
  <si>
    <t>Payment for INV2025-0065</t>
  </si>
  <si>
    <t>BTXN-00053</t>
  </si>
  <si>
    <t>Payment for INV2025-0066</t>
  </si>
  <si>
    <t>BTXN-00054</t>
  </si>
  <si>
    <t>Payment for INV2025-0067</t>
  </si>
  <si>
    <t>BTXN-00055</t>
  </si>
  <si>
    <t>2025-03-04</t>
  </si>
  <si>
    <t>Payment for INV2025-0068</t>
  </si>
  <si>
    <t>BTXN-00056</t>
  </si>
  <si>
    <t>2025-11-27</t>
  </si>
  <si>
    <t>Payment for INV2025-0070</t>
  </si>
  <si>
    <t>BTXN-00057</t>
  </si>
  <si>
    <t>2025-07-30</t>
  </si>
  <si>
    <t>Payment for INV2025-0071</t>
  </si>
  <si>
    <t>BTXN-00058</t>
  </si>
  <si>
    <t>2025-10-11</t>
  </si>
  <si>
    <t>Payment for INV2025-0072</t>
  </si>
  <si>
    <t>BTXN-00059</t>
  </si>
  <si>
    <t>2025-09-01</t>
  </si>
  <si>
    <t>Payment for INV2025-0073</t>
  </si>
  <si>
    <t>BTXN-00060</t>
  </si>
  <si>
    <t>2025-10-29</t>
  </si>
  <si>
    <t>Payment for INV2025-0074</t>
  </si>
  <si>
    <t>BTXN-00061</t>
  </si>
  <si>
    <t>2025-07-14</t>
  </si>
  <si>
    <t>Payment for INV2025-0075</t>
  </si>
  <si>
    <t>BTXN-00062</t>
  </si>
  <si>
    <t>2025-05-26</t>
  </si>
  <si>
    <t>Payment for INV2025-0076</t>
  </si>
  <si>
    <t>BTXN-00063</t>
  </si>
  <si>
    <t>2025-09-21</t>
  </si>
  <si>
    <t>Payment for INV2025-0078</t>
  </si>
  <si>
    <t>BTXN-00064</t>
  </si>
  <si>
    <t>2025-09-15</t>
  </si>
  <si>
    <t>Payment for INV2025-0079</t>
  </si>
  <si>
    <t>BTXN-00065</t>
  </si>
  <si>
    <t>2025-02-21</t>
  </si>
  <si>
    <t>Payment for INV2025-0080</t>
  </si>
  <si>
    <t>BTXN-00066</t>
  </si>
  <si>
    <t>2025-08-11</t>
  </si>
  <si>
    <t>Payment for INV2025-0082</t>
  </si>
  <si>
    <t>BTXN-00067</t>
  </si>
  <si>
    <t>2025-09-22</t>
  </si>
  <si>
    <t>Payment for INV2025-0084</t>
  </si>
  <si>
    <t>BTXN-00068</t>
  </si>
  <si>
    <t>Payment for INV2025-0085</t>
  </si>
  <si>
    <t>BTXN-00069</t>
  </si>
  <si>
    <t>2025-04-15</t>
  </si>
  <si>
    <t>Duplicate payment for INV2025-0085</t>
  </si>
  <si>
    <t>BTXN-00070</t>
  </si>
  <si>
    <t>Payment for INV2025-0087</t>
  </si>
  <si>
    <t>BTXN-00071</t>
  </si>
  <si>
    <t>2025-08-08</t>
  </si>
  <si>
    <t>Payment for INV2025-0088</t>
  </si>
  <si>
    <t>BTXN-00072</t>
  </si>
  <si>
    <t>2025-06-17</t>
  </si>
  <si>
    <t>Payment for INV2025-0089</t>
  </si>
  <si>
    <t>BTXN-00073</t>
  </si>
  <si>
    <t>2025-03-26</t>
  </si>
  <si>
    <t>Payment for INV2025-0091</t>
  </si>
  <si>
    <t>BTXN-00074</t>
  </si>
  <si>
    <t>2025-07-09</t>
  </si>
  <si>
    <t>Payment for INV2025-0092</t>
  </si>
  <si>
    <t>BTXN-00075</t>
  </si>
  <si>
    <t>2025-10-31</t>
  </si>
  <si>
    <t>Payment for INV2025-0093</t>
  </si>
  <si>
    <t>BTXN-00076</t>
  </si>
  <si>
    <t>2025-05-06</t>
  </si>
  <si>
    <t>Payment for INV2025-0094</t>
  </si>
  <si>
    <t>BTXN-00077</t>
  </si>
  <si>
    <t>2025-07-27</t>
  </si>
  <si>
    <t>Payment for INV2025-0096</t>
  </si>
  <si>
    <t>BTXN-00078</t>
  </si>
  <si>
    <t>Payment for INV2025-0097</t>
  </si>
  <si>
    <t>BTXN-00079</t>
  </si>
  <si>
    <t>2025-07-02</t>
  </si>
  <si>
    <t>Payment for INV2025-0098</t>
  </si>
  <si>
    <t>BTXN-00080</t>
  </si>
  <si>
    <t>Payment for INV2025-0099</t>
  </si>
  <si>
    <t>BTXN-00081</t>
  </si>
  <si>
    <t>Payment for INV2025-0101</t>
  </si>
  <si>
    <t>BTXN-00082</t>
  </si>
  <si>
    <t>2025-08-04</t>
  </si>
  <si>
    <t>Payment for INV2025-0102</t>
  </si>
  <si>
    <t>BTXN-00083</t>
  </si>
  <si>
    <t>2025-07-25</t>
  </si>
  <si>
    <t>Payment for INV2025-0103</t>
  </si>
  <si>
    <t>BTXN-00084</t>
  </si>
  <si>
    <t>2025-12-27</t>
  </si>
  <si>
    <t>Payment for INV2025-0105</t>
  </si>
  <si>
    <t>BTXN-00085</t>
  </si>
  <si>
    <t>2025-07-19</t>
  </si>
  <si>
    <t>Payment for INV2025-0106</t>
  </si>
  <si>
    <t>BTXN-00086</t>
  </si>
  <si>
    <t>2025-10-07</t>
  </si>
  <si>
    <t>Payment for INV2025-0107</t>
  </si>
  <si>
    <t>BTXN-00087</t>
  </si>
  <si>
    <t>2025-01-21</t>
  </si>
  <si>
    <t>Payment for INV2025-0108</t>
  </si>
  <si>
    <t>BTXN-00088</t>
  </si>
  <si>
    <t>Payment for INV2025-0110</t>
  </si>
  <si>
    <t>BTXN-00089</t>
  </si>
  <si>
    <t>2025-06-25</t>
  </si>
  <si>
    <t>Payment for INV2025-0111</t>
  </si>
  <si>
    <t>BTXN-00090</t>
  </si>
  <si>
    <t>Payment for INV2025-0113</t>
  </si>
  <si>
    <t>BTXN-00091</t>
  </si>
  <si>
    <t>2025-04-07</t>
  </si>
  <si>
    <t>Payment for INV2025-0114</t>
  </si>
  <si>
    <t>BTXN-00092</t>
  </si>
  <si>
    <t>2025-02-16</t>
  </si>
  <si>
    <t>Payment for INV2025-0115</t>
  </si>
  <si>
    <t>BTXN-00093</t>
  </si>
  <si>
    <t>2025-04-05</t>
  </si>
  <si>
    <t>Payment for INV2025-0116</t>
  </si>
  <si>
    <t>BTXN-00094</t>
  </si>
  <si>
    <t>2025-04-06</t>
  </si>
  <si>
    <t>Duplicate payment for INV2025-0116</t>
  </si>
  <si>
    <t>BTXN-00095</t>
  </si>
  <si>
    <t>Payment for INV2025-0117</t>
  </si>
  <si>
    <t>BTXN-00096</t>
  </si>
  <si>
    <t>2025-06-06</t>
  </si>
  <si>
    <t>Payment for INV2025-0118</t>
  </si>
  <si>
    <t>BTXN-00097</t>
  </si>
  <si>
    <t>2025-01-13</t>
  </si>
  <si>
    <t>Payment for INV2025-0119</t>
  </si>
  <si>
    <t>BTXN-00098</t>
  </si>
  <si>
    <t>2025-02-13</t>
  </si>
  <si>
    <t>Payment for INV2025-0120</t>
  </si>
  <si>
    <t>BTXN-00099</t>
  </si>
  <si>
    <t>2025-08-31</t>
  </si>
  <si>
    <t>Payment for INV2025-0122</t>
  </si>
  <si>
    <t>BTXN-00100</t>
  </si>
  <si>
    <t>2025-05-07</t>
  </si>
  <si>
    <t>Payment for INV2025-0124</t>
  </si>
  <si>
    <t>BTXN-00101</t>
  </si>
  <si>
    <t>2025-09-06</t>
  </si>
  <si>
    <t>Payment for INV2025-0125</t>
  </si>
  <si>
    <t>BTXN-00102</t>
  </si>
  <si>
    <t>Payment for INV2025-0126</t>
  </si>
  <si>
    <t>BTXN-00103</t>
  </si>
  <si>
    <t>Payment for INV2025-0127</t>
  </si>
  <si>
    <t>BTXN-00104</t>
  </si>
  <si>
    <t>Payment for INV2025-0130</t>
  </si>
  <si>
    <t>BTXN-00105</t>
  </si>
  <si>
    <t>2025-09-17</t>
  </si>
  <si>
    <t>Payment for INV2025-0132</t>
  </si>
  <si>
    <t>BTXN-00106</t>
  </si>
  <si>
    <t>2025-02-08</t>
  </si>
  <si>
    <t>Payment for INV2025-0133</t>
  </si>
  <si>
    <t>BTXN-00107</t>
  </si>
  <si>
    <t>2025-04-28</t>
  </si>
  <si>
    <t>Payment for INV2025-0134</t>
  </si>
  <si>
    <t>BTXN-00108</t>
  </si>
  <si>
    <t>2025-01-10</t>
  </si>
  <si>
    <t>Payment for INV2025-0135</t>
  </si>
  <si>
    <t>BTXN-00109</t>
  </si>
  <si>
    <t>2025-07-01</t>
  </si>
  <si>
    <t>Payment for INV2025-0136</t>
  </si>
  <si>
    <t>BTXN-00110</t>
  </si>
  <si>
    <t>Payment for INV2025-0137</t>
  </si>
  <si>
    <t>BTXN-00111</t>
  </si>
  <si>
    <t>2025-11-05</t>
  </si>
  <si>
    <t>Payment for INV2025-0140</t>
  </si>
  <si>
    <t>BTXN-00112</t>
  </si>
  <si>
    <t>Payment for INV2025-0142</t>
  </si>
  <si>
    <t>BTXN-00113</t>
  </si>
  <si>
    <t>2025-11-22</t>
  </si>
  <si>
    <t>Payment for INV2025-0143</t>
  </si>
  <si>
    <t>BTXN-00114</t>
  </si>
  <si>
    <t>Payment for INV2025-0144</t>
  </si>
  <si>
    <t>BTXN-00115</t>
  </si>
  <si>
    <t>Payment for INV2025-0145</t>
  </si>
  <si>
    <t>BTXN-00116</t>
  </si>
  <si>
    <t>2025-06-04</t>
  </si>
  <si>
    <t>Payment for INV2025-0146</t>
  </si>
  <si>
    <t>BTXN-00117</t>
  </si>
  <si>
    <t>2025-09-23</t>
  </si>
  <si>
    <t>Payment for INV2025-0147</t>
  </si>
  <si>
    <t>BTXN-00118</t>
  </si>
  <si>
    <t>2025-08-25</t>
  </si>
  <si>
    <t>Payment for INV2025-0149</t>
  </si>
  <si>
    <t>BTXN-00119</t>
  </si>
  <si>
    <t>2025-06-26</t>
  </si>
  <si>
    <t>Payment for INV2025-0151</t>
  </si>
  <si>
    <t>BTXN-00120</t>
  </si>
  <si>
    <t>2025-04-27</t>
  </si>
  <si>
    <t>Payment for INV2025-0154</t>
  </si>
  <si>
    <t>BTXN-00121</t>
  </si>
  <si>
    <t>2025-07-15</t>
  </si>
  <si>
    <t>Payment for INV2025-0155</t>
  </si>
  <si>
    <t>BTXN-00122</t>
  </si>
  <si>
    <t>2025-08-18</t>
  </si>
  <si>
    <t>Payment for INV2025-0156</t>
  </si>
  <si>
    <t>BTXN-00123</t>
  </si>
  <si>
    <t>2025-12-13</t>
  </si>
  <si>
    <t>Payment for INV2025-0158</t>
  </si>
  <si>
    <t>BTXN-00124</t>
  </si>
  <si>
    <t>2025-09-24</t>
  </si>
  <si>
    <t>Payment for INV2025-0159</t>
  </si>
  <si>
    <t>BTXN-00125</t>
  </si>
  <si>
    <t>2025-04-13</t>
  </si>
  <si>
    <t>Payment for INV2025-0160</t>
  </si>
  <si>
    <t>BTXN-00126</t>
  </si>
  <si>
    <t>Duplicate payment for INV2025-0160</t>
  </si>
  <si>
    <t>BTXN-00127</t>
  </si>
  <si>
    <t>Payment for INV2025-0164</t>
  </si>
  <si>
    <t>BTXN-00128</t>
  </si>
  <si>
    <t>2025-12-12</t>
  </si>
  <si>
    <t>Payment for INV2025-0165</t>
  </si>
  <si>
    <t>BTXN-00129</t>
  </si>
  <si>
    <t>2025-04-16</t>
  </si>
  <si>
    <t>Payment for INV2025-0166</t>
  </si>
  <si>
    <t>BTXN-00130</t>
  </si>
  <si>
    <t>2025-04-25</t>
  </si>
  <si>
    <t>Payment for INV2025-0169</t>
  </si>
  <si>
    <t>BTXN-00131</t>
  </si>
  <si>
    <t>2025-07-31</t>
  </si>
  <si>
    <t>Payment for INV2025-0170</t>
  </si>
  <si>
    <t>BTXN-00132</t>
  </si>
  <si>
    <t>Payment for INV2025-0171</t>
  </si>
  <si>
    <t>BTXN-00133</t>
  </si>
  <si>
    <t>2025-04-21</t>
  </si>
  <si>
    <t>Payment for INV2025-0172</t>
  </si>
  <si>
    <t>BTXN-00134</t>
  </si>
  <si>
    <t>2025-02-09</t>
  </si>
  <si>
    <t>Payment for INV2025-0173</t>
  </si>
  <si>
    <t>BTXN-00135</t>
  </si>
  <si>
    <t>2025-12-02</t>
  </si>
  <si>
    <t>Payment for INV2025-0174</t>
  </si>
  <si>
    <t>BTXN-00136</t>
  </si>
  <si>
    <t>Payment for INV2025-0175</t>
  </si>
  <si>
    <t>BTXN-00137</t>
  </si>
  <si>
    <t>Payment for INV2025-0176</t>
  </si>
  <si>
    <t>BTXN-00138</t>
  </si>
  <si>
    <t>2025-03-20</t>
  </si>
  <si>
    <t>Payment for INV2025-0177</t>
  </si>
  <si>
    <t>BTXN-00139</t>
  </si>
  <si>
    <t>Payment for INV2025-0178</t>
  </si>
  <si>
    <t>BTXN-00140</t>
  </si>
  <si>
    <t>Payment for INV2025-0179</t>
  </si>
  <si>
    <t>BTXN-00141</t>
  </si>
  <si>
    <t>Payment for INV2025-0180</t>
  </si>
  <si>
    <t>BTXN-00142</t>
  </si>
  <si>
    <t>2025-12-07</t>
  </si>
  <si>
    <t>Payment for INV2025-0181</t>
  </si>
  <si>
    <t>BTXN-00143</t>
  </si>
  <si>
    <t>2025-11-11</t>
  </si>
  <si>
    <t>Payment for INV2025-0183</t>
  </si>
  <si>
    <t>BTXN-00144</t>
  </si>
  <si>
    <t>2025-11-28</t>
  </si>
  <si>
    <t>Payment for INV2025-0184</t>
  </si>
  <si>
    <t>BTXN-00145</t>
  </si>
  <si>
    <t>2025-07-29</t>
  </si>
  <si>
    <t>Payment for INV2025-0185</t>
  </si>
  <si>
    <t>BTXN-00146</t>
  </si>
  <si>
    <t>2025-06-08</t>
  </si>
  <si>
    <t>Payment for INV2025-0186</t>
  </si>
  <si>
    <t>BTXN-00147</t>
  </si>
  <si>
    <t>2025-09-30</t>
  </si>
  <si>
    <t>Payment for INV2025-0187</t>
  </si>
  <si>
    <t>BTXN-00148</t>
  </si>
  <si>
    <t>2025-08-12</t>
  </si>
  <si>
    <t>Payment for INV2025-0189</t>
  </si>
  <si>
    <t>BTXN-00149</t>
  </si>
  <si>
    <t>2025-07-26</t>
  </si>
  <si>
    <t>Payment for INV2025-0190</t>
  </si>
  <si>
    <t>BTXN-00150</t>
  </si>
  <si>
    <t>Payment for INV2025-0192</t>
  </si>
  <si>
    <t>BTXN-00151</t>
  </si>
  <si>
    <t>Payment for INV2025-0193</t>
  </si>
  <si>
    <t>BTXN-00152</t>
  </si>
  <si>
    <t>Payment for INV2025-0194</t>
  </si>
  <si>
    <t>BTXN-00153</t>
  </si>
  <si>
    <t>Payment for INV2025-0195</t>
  </si>
  <si>
    <t>BTXN-00154</t>
  </si>
  <si>
    <t>Payment for INV2025-0196</t>
  </si>
  <si>
    <t>BTXN-00155</t>
  </si>
  <si>
    <t>Payment for INV2025-0197</t>
  </si>
  <si>
    <t>BTXN-00156</t>
  </si>
  <si>
    <t>Payment for INV2025-0198</t>
  </si>
  <si>
    <t>BTXN-00157</t>
  </si>
  <si>
    <t>2025-11-06</t>
  </si>
  <si>
    <t>Payment for INV2025-0199</t>
  </si>
  <si>
    <t>BTXN-00158</t>
  </si>
  <si>
    <t>Payment for INV2025-0200</t>
  </si>
  <si>
    <t>BTXN-00159</t>
  </si>
  <si>
    <t>2025-01-30</t>
  </si>
  <si>
    <t>Payment for INV2025-0203</t>
  </si>
  <si>
    <t>BTXN-00160</t>
  </si>
  <si>
    <t>2025-08-01</t>
  </si>
  <si>
    <t>Payment for INV2025-0205</t>
  </si>
  <si>
    <t>BTXN-00161</t>
  </si>
  <si>
    <t>2025-03-18</t>
  </si>
  <si>
    <t>Payment for INV2025-0206</t>
  </si>
  <si>
    <t>BTXN-00162</t>
  </si>
  <si>
    <t>2025-05-18</t>
  </si>
  <si>
    <t>Payment for INV2025-0208</t>
  </si>
  <si>
    <t>BTXN-00163</t>
  </si>
  <si>
    <t>2025-02-04</t>
  </si>
  <si>
    <t>Payment for INV2025-0209</t>
  </si>
  <si>
    <t>BTXN-00164</t>
  </si>
  <si>
    <t>2025-07-03</t>
  </si>
  <si>
    <t>Payment for INV2025-0213</t>
  </si>
  <si>
    <t>BTXN-00165</t>
  </si>
  <si>
    <t>Payment for INV2025-0215</t>
  </si>
  <si>
    <t>BTXN-00166</t>
  </si>
  <si>
    <t>2025-05-01</t>
  </si>
  <si>
    <t>Payment for INV2025-0216</t>
  </si>
  <si>
    <t>BTXN-00167</t>
  </si>
  <si>
    <t>2025-11-03</t>
  </si>
  <si>
    <t>Payment for INV2025-0217</t>
  </si>
  <si>
    <t>BTXN-00168</t>
  </si>
  <si>
    <t>Payment for INV2025-0218</t>
  </si>
  <si>
    <t>BTXN-00169</t>
  </si>
  <si>
    <t>2025-05-31</t>
  </si>
  <si>
    <t>Payment for INV2025-0219</t>
  </si>
  <si>
    <t>BTXN-00170</t>
  </si>
  <si>
    <t>2025-11-01</t>
  </si>
  <si>
    <t>Payment for INV2025-0220</t>
  </si>
  <si>
    <t>BTXN-00171</t>
  </si>
  <si>
    <t>2025-02-15</t>
  </si>
  <si>
    <t>Payment for INV2025-0222</t>
  </si>
  <si>
    <t>BTXN-00172</t>
  </si>
  <si>
    <t>2025-04-04</t>
  </si>
  <si>
    <t>Payment for INV2025-0223</t>
  </si>
  <si>
    <t>BTXN-00173</t>
  </si>
  <si>
    <t>Payment for INV2025-0224</t>
  </si>
  <si>
    <t>BTXN-00174</t>
  </si>
  <si>
    <t>2025-03-24</t>
  </si>
  <si>
    <t>Payment for INV2025-0225</t>
  </si>
  <si>
    <t>BTXN-00175</t>
  </si>
  <si>
    <t>Payment for INV2025-0226</t>
  </si>
  <si>
    <t>BTXN-00176</t>
  </si>
  <si>
    <t>Payment for INV2025-0227</t>
  </si>
  <si>
    <t>BTXN-00177</t>
  </si>
  <si>
    <t>2025-10-20</t>
  </si>
  <si>
    <t>Payment for INV2025-0229</t>
  </si>
  <si>
    <t>BTXN-00178</t>
  </si>
  <si>
    <t>2025-06-29</t>
  </si>
  <si>
    <t>Payment for INV2025-0230</t>
  </si>
  <si>
    <t>BTXN-00179</t>
  </si>
  <si>
    <t>2025-06-16</t>
  </si>
  <si>
    <t>Payment for INV2025-0231</t>
  </si>
  <si>
    <t>BTXN-00180</t>
  </si>
  <si>
    <t>2025-12-26</t>
  </si>
  <si>
    <t>Payment for INV2025-0232</t>
  </si>
  <si>
    <t>BTXN-00181</t>
  </si>
  <si>
    <t>2025-11-24</t>
  </si>
  <si>
    <t>Payment for INV2025-0235</t>
  </si>
  <si>
    <t>BTXN-00182</t>
  </si>
  <si>
    <t>Payment for INV2025-0236</t>
  </si>
  <si>
    <t>BTXN-00183</t>
  </si>
  <si>
    <t>2025-03-31</t>
  </si>
  <si>
    <t>Payment for INV2025-0237</t>
  </si>
  <si>
    <t>BTXN-00184</t>
  </si>
  <si>
    <t>2025-10-28</t>
  </si>
  <si>
    <t>Payment for INV2025-0238</t>
  </si>
  <si>
    <t>BTXN-00185</t>
  </si>
  <si>
    <t>Payment for INV2025-0240</t>
  </si>
  <si>
    <t>BTXN-00186</t>
  </si>
  <si>
    <t>2025-06-21</t>
  </si>
  <si>
    <t>Payment for INV2025-0241</t>
  </si>
  <si>
    <t>BTXN-00187</t>
  </si>
  <si>
    <t>2025-12-19</t>
  </si>
  <si>
    <t>Payment for INV2025-0243</t>
  </si>
  <si>
    <t>BTXN-00188</t>
  </si>
  <si>
    <t>2025-12-14</t>
  </si>
  <si>
    <t>Payment for INV2025-0244</t>
  </si>
  <si>
    <t>BTXN-00189</t>
  </si>
  <si>
    <t>2025-05-04</t>
  </si>
  <si>
    <t>Payment for INV2025-0246</t>
  </si>
  <si>
    <t>BTXN-00190</t>
  </si>
  <si>
    <t>2025-08-15</t>
  </si>
  <si>
    <t>Payment for INV2025-0247</t>
  </si>
  <si>
    <t>BTXN-00191</t>
  </si>
  <si>
    <t>2025-10-12</t>
  </si>
  <si>
    <t>Payment for INV2025-0248</t>
  </si>
  <si>
    <t>BTXN-00192</t>
  </si>
  <si>
    <t>Payment for INV2025-0249</t>
  </si>
  <si>
    <t>BTXN-00193</t>
  </si>
  <si>
    <t>2025-06-12</t>
  </si>
  <si>
    <t>Payment for INV2025-0250</t>
  </si>
  <si>
    <t>BTXN-00194</t>
  </si>
  <si>
    <t>2025-06-30</t>
  </si>
  <si>
    <t>Payment for INV2025-0252</t>
  </si>
  <si>
    <t>BTXN-00195</t>
  </si>
  <si>
    <t>2025-03-08</t>
  </si>
  <si>
    <t>Payment for INV2025-0253</t>
  </si>
  <si>
    <t>BTXN-00196</t>
  </si>
  <si>
    <t>Payment for INV2025-0256</t>
  </si>
  <si>
    <t>BTXN-00197</t>
  </si>
  <si>
    <t>Duplicate payment for INV2025-0256</t>
  </si>
  <si>
    <t>BTXN-00198</t>
  </si>
  <si>
    <t>Payment for INV2025-0257</t>
  </si>
  <si>
    <t>BTXN-00199</t>
  </si>
  <si>
    <t>2025-11-21</t>
  </si>
  <si>
    <t>Payment for INV2025-0258</t>
  </si>
  <si>
    <t>BTXN-00200</t>
  </si>
  <si>
    <t>2025-04-26</t>
  </si>
  <si>
    <t>Payment for INV2025-0259</t>
  </si>
  <si>
    <t>BTXN-00201</t>
  </si>
  <si>
    <t>2025-06-28</t>
  </si>
  <si>
    <t>Payment for INV2025-0260</t>
  </si>
  <si>
    <t>BTXN-00202</t>
  </si>
  <si>
    <t>2025-06-15</t>
  </si>
  <si>
    <t>Payment for INV2025-0262</t>
  </si>
  <si>
    <t>BTXN-00203</t>
  </si>
  <si>
    <t>Payment for INV2025-0263</t>
  </si>
  <si>
    <t>BTXN-00204</t>
  </si>
  <si>
    <t>2025-04-20</t>
  </si>
  <si>
    <t>Payment for INV2025-0264</t>
  </si>
  <si>
    <t>BTXN-00205</t>
  </si>
  <si>
    <t>2025-03-25</t>
  </si>
  <si>
    <t>Payment for INV2025-0266</t>
  </si>
  <si>
    <t>BTXN-00206</t>
  </si>
  <si>
    <t>Payment for INV2025-0269</t>
  </si>
  <si>
    <t>BTXN-00207</t>
  </si>
  <si>
    <t>2025-02-12</t>
  </si>
  <si>
    <t>Payment for INV2025-0270</t>
  </si>
  <si>
    <t>BTXN-00208</t>
  </si>
  <si>
    <t>2025-03-07</t>
  </si>
  <si>
    <t>Payment for INV2025-0271</t>
  </si>
  <si>
    <t>BTXN-00209</t>
  </si>
  <si>
    <t>2025-05-12</t>
  </si>
  <si>
    <t>Payment for INV2025-0272</t>
  </si>
  <si>
    <t>BTXN-00210</t>
  </si>
  <si>
    <t>Payment for INV2025-0273</t>
  </si>
  <si>
    <t>BTXN-00211</t>
  </si>
  <si>
    <t>Payment for INV2025-0274</t>
  </si>
  <si>
    <t>BTXN-00212</t>
  </si>
  <si>
    <t>2025-12-30</t>
  </si>
  <si>
    <t>Payment for INV2025-0275</t>
  </si>
  <si>
    <t>BTXN-00213</t>
  </si>
  <si>
    <t>2025-10-23</t>
  </si>
  <si>
    <t>Payment for INV2025-0276</t>
  </si>
  <si>
    <t>BTXN-00214</t>
  </si>
  <si>
    <t>Payment for INV2025-0277</t>
  </si>
  <si>
    <t>BTXN-00215</t>
  </si>
  <si>
    <t>Payment for INV2025-0278</t>
  </si>
  <si>
    <t>BTXN-00216</t>
  </si>
  <si>
    <t>2025-05-27</t>
  </si>
  <si>
    <t>Payment for INV2025-0279</t>
  </si>
  <si>
    <t>BTXN-00217</t>
  </si>
  <si>
    <t>Payment for INV2025-0280</t>
  </si>
  <si>
    <t>BTXN-00218</t>
  </si>
  <si>
    <t>Payment for INV2025-0281</t>
  </si>
  <si>
    <t>BTXN-00219</t>
  </si>
  <si>
    <t>Payment for INV2025-0282</t>
  </si>
  <si>
    <t>BTXN-00220</t>
  </si>
  <si>
    <t>Payment for INV2025-0286</t>
  </si>
  <si>
    <t>BTXN-00221</t>
  </si>
  <si>
    <t>Payment for INV2025-0287</t>
  </si>
  <si>
    <t>BTXN-00222</t>
  </si>
  <si>
    <t>Payment for INV2025-0288</t>
  </si>
  <si>
    <t>BTXN-00223</t>
  </si>
  <si>
    <t>Payment for INV2025-0289</t>
  </si>
  <si>
    <t>BTXN-00224</t>
  </si>
  <si>
    <t>2025-05-02</t>
  </si>
  <si>
    <t>Payment for INV2025-0290</t>
  </si>
  <si>
    <t>BTXN-00225</t>
  </si>
  <si>
    <t>Payment for INV2025-0291</t>
  </si>
  <si>
    <t>BTXN-00226</t>
  </si>
  <si>
    <t>Payment for INV2025-0292</t>
  </si>
  <si>
    <t>BTXN-00227</t>
  </si>
  <si>
    <t>2025-12-05</t>
  </si>
  <si>
    <t>Payment for INV2025-0293</t>
  </si>
  <si>
    <t>BTXN-00228</t>
  </si>
  <si>
    <t>2025-04-01</t>
  </si>
  <si>
    <t>Payment for INV2025-0294</t>
  </si>
  <si>
    <t>BTXN-00229</t>
  </si>
  <si>
    <t>2025-05-23</t>
  </si>
  <si>
    <t>Payment for INV2025-0295</t>
  </si>
  <si>
    <t>BTXN-00230</t>
  </si>
  <si>
    <t>Payment for INV2025-0296</t>
  </si>
  <si>
    <t>BTXN-00231</t>
  </si>
  <si>
    <t>Payment for INV2025-0298</t>
  </si>
  <si>
    <t>BTXN-00232</t>
  </si>
  <si>
    <t>2025-07-08</t>
  </si>
  <si>
    <t>Payment for INV2025-0300</t>
  </si>
  <si>
    <t>BTXN-00233</t>
  </si>
  <si>
    <t>Payment for INV2025-0302</t>
  </si>
  <si>
    <t>BTXN-00234</t>
  </si>
  <si>
    <t>Payment for INV2025-0303</t>
  </si>
  <si>
    <t>BTXN-00235</t>
  </si>
  <si>
    <t>2025-10-05</t>
  </si>
  <si>
    <t>Payment for INV2025-0304</t>
  </si>
  <si>
    <t>BTXN-00236</t>
  </si>
  <si>
    <t>2025-06-10</t>
  </si>
  <si>
    <t>Payment for INV2025-0305</t>
  </si>
  <si>
    <t>BTXN-00237</t>
  </si>
  <si>
    <t>2025-01-26</t>
  </si>
  <si>
    <t>Payment for INV2025-0306</t>
  </si>
  <si>
    <t>BTXN-00238</t>
  </si>
  <si>
    <t>Payment for INV2025-0308</t>
  </si>
  <si>
    <t>BTXN-00239</t>
  </si>
  <si>
    <t>Payment for INV2025-0310</t>
  </si>
  <si>
    <t>BTXN-00240</t>
  </si>
  <si>
    <t>Payment for INV2025-0311</t>
  </si>
  <si>
    <t>BTXN-00241</t>
  </si>
  <si>
    <t>Payment for INV2025-0312</t>
  </si>
  <si>
    <t>BTXN-00242</t>
  </si>
  <si>
    <t>2025-07-20</t>
  </si>
  <si>
    <t>Payment for INV2025-0313</t>
  </si>
  <si>
    <t>BTXN-00243</t>
  </si>
  <si>
    <t>Payment for INV2025-0314</t>
  </si>
  <si>
    <t>BTXN-00244</t>
  </si>
  <si>
    <t>Payment for INV2025-0315</t>
  </si>
  <si>
    <t>BTXN-00245</t>
  </si>
  <si>
    <t>2025-12-22</t>
  </si>
  <si>
    <t>Payment for INV2025-0317</t>
  </si>
  <si>
    <t>BTXN-00246</t>
  </si>
  <si>
    <t>2025-12-15</t>
  </si>
  <si>
    <t>Payment for INV2025-0318</t>
  </si>
  <si>
    <t>BTXN-00247</t>
  </si>
  <si>
    <t>2025-08-23</t>
  </si>
  <si>
    <t>Payment for INV2025-0319</t>
  </si>
  <si>
    <t>BTXN-00248</t>
  </si>
  <si>
    <t>Duplicate payment for INV2025-0319</t>
  </si>
  <si>
    <t>BTXN-00249</t>
  </si>
  <si>
    <t>Payment for INV2025-0320</t>
  </si>
  <si>
    <t>BTXN-00250</t>
  </si>
  <si>
    <t>Payment for INV2025-0321</t>
  </si>
  <si>
    <t>BTXN-00251</t>
  </si>
  <si>
    <t>2025-09-03</t>
  </si>
  <si>
    <t>Payment for INV2025-0322</t>
  </si>
  <si>
    <t>BTXN-00252</t>
  </si>
  <si>
    <t>Payment for INV2025-0323</t>
  </si>
  <si>
    <t>BTXN-00253</t>
  </si>
  <si>
    <t>2025-08-02</t>
  </si>
  <si>
    <t>Payment for INV2025-0324</t>
  </si>
  <si>
    <t>BTXN-00254</t>
  </si>
  <si>
    <t>2025-03-17</t>
  </si>
  <si>
    <t>Payment for INV2025-0325</t>
  </si>
  <si>
    <t>BTXN-00255</t>
  </si>
  <si>
    <t>Payment for INV2025-0326</t>
  </si>
  <si>
    <t>BTXN-00256</t>
  </si>
  <si>
    <t>2025-05-17</t>
  </si>
  <si>
    <t>Payment for INV2025-0327</t>
  </si>
  <si>
    <t>BTXN-00257</t>
  </si>
  <si>
    <t>2025-03-22</t>
  </si>
  <si>
    <t>Payment for INV2025-0329</t>
  </si>
  <si>
    <t>BTXN-00258</t>
  </si>
  <si>
    <t>2025-12-03</t>
  </si>
  <si>
    <t>Payment for INV2025-0331</t>
  </si>
  <si>
    <t>BTXN-00259</t>
  </si>
  <si>
    <t>2025-04-18</t>
  </si>
  <si>
    <t>Payment for INV2025-0332</t>
  </si>
  <si>
    <t>BTXN-00260</t>
  </si>
  <si>
    <t>Duplicate payment for INV2025-0332</t>
  </si>
  <si>
    <t>BTXN-00261</t>
  </si>
  <si>
    <t>2025-12-21</t>
  </si>
  <si>
    <t>Payment for INV2025-0333</t>
  </si>
  <si>
    <t>BTXN-00262</t>
  </si>
  <si>
    <t>2025-06-01</t>
  </si>
  <si>
    <t>Payment for INV2025-0334</t>
  </si>
  <si>
    <t>BTXN-00263</t>
  </si>
  <si>
    <t>2025-10-24</t>
  </si>
  <si>
    <t>Payment for INV2025-0335</t>
  </si>
  <si>
    <t>BTXN-00264</t>
  </si>
  <si>
    <t>2025-06-18</t>
  </si>
  <si>
    <t>Payment for INV2025-0336</t>
  </si>
  <si>
    <t>BTXN-00265</t>
  </si>
  <si>
    <t>2025-12-09</t>
  </si>
  <si>
    <t>Payment for INV2025-0337</t>
  </si>
  <si>
    <t>BTXN-00266</t>
  </si>
  <si>
    <t>2025-11-23</t>
  </si>
  <si>
    <t>Payment for INV2025-0340</t>
  </si>
  <si>
    <t>BTXN-00267</t>
  </si>
  <si>
    <t>Payment for INV2025-0341</t>
  </si>
  <si>
    <t>BTXN-00268</t>
  </si>
  <si>
    <t>Payment for INV2025-0342</t>
  </si>
  <si>
    <t>BTXN-00269</t>
  </si>
  <si>
    <t>Payment for INV2025-0345</t>
  </si>
  <si>
    <t>BTXN-00270</t>
  </si>
  <si>
    <t>Payment for INV2025-0347</t>
  </si>
  <si>
    <t>BTXN-00271</t>
  </si>
  <si>
    <t>Payment for INV2025-0348</t>
  </si>
  <si>
    <t>BTXN-00272</t>
  </si>
  <si>
    <t>2025-06-23</t>
  </si>
  <si>
    <t>Payment for INV2025-0349</t>
  </si>
  <si>
    <t>BTXN-00273</t>
  </si>
  <si>
    <t>Payment for INV2025-0350</t>
  </si>
  <si>
    <t>BTXN-00274</t>
  </si>
  <si>
    <t>2025-07-07</t>
  </si>
  <si>
    <t>Unmatched vendor payment</t>
  </si>
  <si>
    <t>BTXN-00275</t>
  </si>
  <si>
    <t>2025-10-15</t>
  </si>
  <si>
    <t>BTXN-00276</t>
  </si>
  <si>
    <t>BTXN-00277</t>
  </si>
  <si>
    <t>2025-02-10</t>
  </si>
  <si>
    <t>BTXN-00278</t>
  </si>
  <si>
    <t>BTXN-00279</t>
  </si>
  <si>
    <t>2025-06-09</t>
  </si>
  <si>
    <t>BTXN-00280</t>
  </si>
  <si>
    <t>BTXN-00281</t>
  </si>
  <si>
    <t>BTXN-00282</t>
  </si>
  <si>
    <t>BTXN-00283</t>
  </si>
  <si>
    <t>Period</t>
  </si>
  <si>
    <t>AP_Control_Balance</t>
  </si>
  <si>
    <t>AP_Unpaid_Subledger_Balance</t>
  </si>
  <si>
    <t>2025-01</t>
  </si>
  <si>
    <t>350312.46</t>
  </si>
  <si>
    <t>349676.7</t>
  </si>
  <si>
    <t>2025-02</t>
  </si>
  <si>
    <t>328655.55</t>
  </si>
  <si>
    <t>337943.22</t>
  </si>
  <si>
    <t>2025-03</t>
  </si>
  <si>
    <t>626503.85</t>
  </si>
  <si>
    <t>609374.74</t>
  </si>
  <si>
    <t>2025-04</t>
  </si>
  <si>
    <t>672493.32</t>
  </si>
  <si>
    <t>660652.54</t>
  </si>
  <si>
    <t>2025-05</t>
  </si>
  <si>
    <t>742770.87</t>
  </si>
  <si>
    <t>752120.23</t>
  </si>
  <si>
    <t>2025-06</t>
  </si>
  <si>
    <t>826655.98</t>
  </si>
  <si>
    <t>803516.15</t>
  </si>
  <si>
    <t>2025-07</t>
  </si>
  <si>
    <t>765662.09</t>
  </si>
  <si>
    <t>761010.11</t>
  </si>
  <si>
    <t>2025-08</t>
  </si>
  <si>
    <t>811937.22</t>
  </si>
  <si>
    <t>807941.66</t>
  </si>
  <si>
    <t>2025-09</t>
  </si>
  <si>
    <t>840396.75</t>
  </si>
  <si>
    <t>828071.41</t>
  </si>
  <si>
    <t>2025-10</t>
  </si>
  <si>
    <t>992548.61</t>
  </si>
  <si>
    <t>974322.75</t>
  </si>
  <si>
    <t>2025-11</t>
  </si>
  <si>
    <t>1061233.14</t>
  </si>
  <si>
    <t>1051362.2</t>
  </si>
  <si>
    <t>2025-12</t>
  </si>
  <si>
    <t>1109192.51</t>
  </si>
  <si>
    <t>1134508.22</t>
  </si>
  <si>
    <t>State</t>
  </si>
  <si>
    <t>Taxable_Amount</t>
  </si>
  <si>
    <t>Tax_Rate</t>
  </si>
  <si>
    <t>Calculated_Tax</t>
  </si>
  <si>
    <t>GL_Tax_Liability_Account</t>
  </si>
  <si>
    <t>Recalc_Tax</t>
  </si>
  <si>
    <t>Tax_Mismatch_Flag</t>
  </si>
  <si>
    <t>Correct_Tax_Rate</t>
  </si>
  <si>
    <t>Correct_Rate_Flag</t>
  </si>
  <si>
    <t>FL</t>
  </si>
  <si>
    <t>2020-SalesUseTaxPayable</t>
  </si>
  <si>
    <t>Surtax_2025</t>
  </si>
  <si>
    <t>Total_Tax_Rate_2025</t>
  </si>
  <si>
    <t>Account</t>
  </si>
  <si>
    <t>Ending_Balance</t>
  </si>
  <si>
    <t>2000-AccountsPayable</t>
  </si>
  <si>
    <t>1000-Cash</t>
  </si>
  <si>
    <t>2500-LeaseLiability</t>
  </si>
  <si>
    <t>1800-ROUAsset</t>
  </si>
  <si>
    <t>6000-LeaseExpense</t>
  </si>
  <si>
    <t>6100-DepreciationROU</t>
  </si>
  <si>
    <t>Lease_ID</t>
  </si>
  <si>
    <t>MAX of Ending_Lease_Liability</t>
  </si>
  <si>
    <t>MAX of ROU_Asset_Balance</t>
  </si>
  <si>
    <t>LSE-001</t>
  </si>
  <si>
    <t>LSE-002</t>
  </si>
  <si>
    <t>LSE-003</t>
  </si>
  <si>
    <t>LSE-004</t>
  </si>
  <si>
    <t>Start_Date</t>
  </si>
  <si>
    <t>Payment_Date</t>
  </si>
  <si>
    <t>Lease_Payment</t>
  </si>
  <si>
    <t>Interest_Portion</t>
  </si>
  <si>
    <t>Principal_Portion</t>
  </si>
  <si>
    <t>Ending_Lease_Liability</t>
  </si>
  <si>
    <t>ROU_Asset_Balance</t>
  </si>
  <si>
    <t>IP_Sum</t>
  </si>
  <si>
    <t>IP_Sum_Diff</t>
  </si>
  <si>
    <t>IP_Sum_Mismatch_Flag</t>
  </si>
  <si>
    <t>Sequence_Check</t>
  </si>
  <si>
    <t>5684.7</t>
  </si>
  <si>
    <t>1037.27</t>
  </si>
  <si>
    <t>4647.43</t>
  </si>
  <si>
    <t>5684.700000000001</t>
  </si>
  <si>
    <t>-9.094947017729282e-13</t>
  </si>
  <si>
    <t>False</t>
  </si>
  <si>
    <t>1011.19</t>
  </si>
  <si>
    <t>4673.51</t>
  </si>
  <si>
    <t>984.96</t>
  </si>
  <si>
    <t>4699.74</t>
  </si>
  <si>
    <t>0.0</t>
  </si>
  <si>
    <t>932.07</t>
  </si>
  <si>
    <t>4752.63</t>
  </si>
  <si>
    <t>905.39</t>
  </si>
  <si>
    <t>4779.31</t>
  </si>
  <si>
    <t>878.57</t>
  </si>
  <si>
    <t>4806.13</t>
  </si>
  <si>
    <t>851.6</t>
  </si>
  <si>
    <t>4833.1</t>
  </si>
  <si>
    <t>824.48</t>
  </si>
  <si>
    <t>4860.22</t>
  </si>
  <si>
    <t>797.2</t>
  </si>
  <si>
    <t>4887.5</t>
  </si>
  <si>
    <t>769.78</t>
  </si>
  <si>
    <t>4914.92</t>
  </si>
  <si>
    <t>742.19</t>
  </si>
  <si>
    <t>4942.51</t>
  </si>
  <si>
    <t>714.46</t>
  </si>
  <si>
    <t>4970.24</t>
  </si>
  <si>
    <t>686.56</t>
  </si>
  <si>
    <t>4998.14</t>
  </si>
  <si>
    <t>658.51</t>
  </si>
  <si>
    <t>5026.19</t>
  </si>
  <si>
    <t>630.31</t>
  </si>
  <si>
    <t>5054.39</t>
  </si>
  <si>
    <t>601.94</t>
  </si>
  <si>
    <t>5082.76</t>
  </si>
  <si>
    <t>573.42</t>
  </si>
  <si>
    <t>5111.28</t>
  </si>
  <si>
    <t>544.73</t>
  </si>
  <si>
    <t>5139.97</t>
  </si>
  <si>
    <t>515.89</t>
  </si>
  <si>
    <t>5168.81</t>
  </si>
  <si>
    <t>486.88</t>
  </si>
  <si>
    <t>5197.82</t>
  </si>
  <si>
    <t>457.71</t>
  </si>
  <si>
    <t>5226.99</t>
  </si>
  <si>
    <t>428.38</t>
  </si>
  <si>
    <t>5256.32</t>
  </si>
  <si>
    <t>398.88</t>
  </si>
  <si>
    <t>5285.82</t>
  </si>
  <si>
    <t>369.22</t>
  </si>
  <si>
    <t>5315.48</t>
  </si>
  <si>
    <t>339.39</t>
  </si>
  <si>
    <t>5345.31</t>
  </si>
  <si>
    <t>309.39</t>
  </si>
  <si>
    <t>5375.31</t>
  </si>
  <si>
    <t>279.22</t>
  </si>
  <si>
    <t>5405.48</t>
  </si>
  <si>
    <t>248.89</t>
  </si>
  <si>
    <t>5435.81</t>
  </si>
  <si>
    <t>218.38</t>
  </si>
  <si>
    <t>5466.32</t>
  </si>
  <si>
    <t>187.71</t>
  </si>
  <si>
    <t>5496.99</t>
  </si>
  <si>
    <t>156.86</t>
  </si>
  <si>
    <t>5527.84</t>
  </si>
  <si>
    <t>125.84</t>
  </si>
  <si>
    <t>5558.86</t>
  </si>
  <si>
    <t>94.64</t>
  </si>
  <si>
    <t>5590.06</t>
  </si>
  <si>
    <t>63.27</t>
  </si>
  <si>
    <t>5621.43</t>
  </si>
  <si>
    <t>31.72</t>
  </si>
  <si>
    <t>5652.95</t>
  </si>
  <si>
    <t>5684.67</t>
  </si>
  <si>
    <t>0.02999999999974534</t>
  </si>
  <si>
    <t>2491.69</t>
  </si>
  <si>
    <t>293.95</t>
  </si>
  <si>
    <t>2197.74</t>
  </si>
  <si>
    <t>2491.6899999999996</t>
  </si>
  <si>
    <t>4.547473508864641e-13</t>
  </si>
  <si>
    <t>282.42</t>
  </si>
  <si>
    <t>2209.27</t>
  </si>
  <si>
    <t>270.84</t>
  </si>
  <si>
    <t>2220.85</t>
  </si>
  <si>
    <t>259.19</t>
  </si>
  <si>
    <t>2232.5</t>
  </si>
  <si>
    <t>247.48</t>
  </si>
  <si>
    <t>2244.21</t>
  </si>
  <si>
    <t>235.71</t>
  </si>
  <si>
    <t>2255.98</t>
  </si>
  <si>
    <t>223.88</t>
  </si>
  <si>
    <t>2267.81</t>
  </si>
  <si>
    <t>211.99</t>
  </si>
  <si>
    <t>2279.7</t>
  </si>
  <si>
    <t>200.04</t>
  </si>
  <si>
    <t>2291.65</t>
  </si>
  <si>
    <t>188.02</t>
  </si>
  <si>
    <t>2303.67</t>
  </si>
  <si>
    <t>175.94</t>
  </si>
  <si>
    <t>2315.75</t>
  </si>
  <si>
    <t>163.79</t>
  </si>
  <si>
    <t>2327.9</t>
  </si>
  <si>
    <t>151.59</t>
  </si>
  <si>
    <t>2340.1</t>
  </si>
  <si>
    <t>139.31</t>
  </si>
  <si>
    <t>2352.38</t>
  </si>
  <si>
    <t>126.98</t>
  </si>
  <si>
    <t>2364.71</t>
  </si>
  <si>
    <t>114.58</t>
  </si>
  <si>
    <t>2377.11</t>
  </si>
  <si>
    <t>102.11</t>
  </si>
  <si>
    <t>2389.58</t>
  </si>
  <si>
    <t>89.58</t>
  </si>
  <si>
    <t>2402.11</t>
  </si>
  <si>
    <t>76.98</t>
  </si>
  <si>
    <t>2414.71</t>
  </si>
  <si>
    <t>64.32</t>
  </si>
  <si>
    <t>2427.37</t>
  </si>
  <si>
    <t>51.59</t>
  </si>
  <si>
    <t>2440.1</t>
  </si>
  <si>
    <t>38.79</t>
  </si>
  <si>
    <t>2452.9</t>
  </si>
  <si>
    <t>25.93</t>
  </si>
  <si>
    <t>2465.76</t>
  </si>
  <si>
    <t>13.0</t>
  </si>
  <si>
    <t>2478.69</t>
  </si>
  <si>
    <t>4584.81</t>
  </si>
  <si>
    <t>1009.63</t>
  </si>
  <si>
    <t>3575.18</t>
  </si>
  <si>
    <t>4584.8099999999995</t>
  </si>
  <si>
    <t>9.094947017729282e-13</t>
  </si>
  <si>
    <t>984.84</t>
  </si>
  <si>
    <t>3599.97</t>
  </si>
  <si>
    <t>959.88</t>
  </si>
  <si>
    <t>3774.93</t>
  </si>
  <si>
    <t>4734.8099999999995</t>
  </si>
  <si>
    <t>-149.9999999999991</t>
  </si>
  <si>
    <t>934.75</t>
  </si>
  <si>
    <t>3650.06</t>
  </si>
  <si>
    <t>909.44</t>
  </si>
  <si>
    <t>3675.37</t>
  </si>
  <si>
    <t>883.96</t>
  </si>
  <si>
    <t>3700.85</t>
  </si>
  <si>
    <t>858.3</t>
  </si>
  <si>
    <t>3726.51</t>
  </si>
  <si>
    <t>832.47</t>
  </si>
  <si>
    <t>3752.34</t>
  </si>
  <si>
    <t>806.45</t>
  </si>
  <si>
    <t>3778.36</t>
  </si>
  <si>
    <t>780.26</t>
  </si>
  <si>
    <t>3804.55</t>
  </si>
  <si>
    <t>753.88</t>
  </si>
  <si>
    <t>3830.93</t>
  </si>
  <si>
    <t>727.32</t>
  </si>
  <si>
    <t>3857.49</t>
  </si>
  <si>
    <t>700.57</t>
  </si>
  <si>
    <t>3884.24</t>
  </si>
  <si>
    <t>673.64</t>
  </si>
  <si>
    <t>3911.17</t>
  </si>
  <si>
    <t>646.53</t>
  </si>
  <si>
    <t>3938.28</t>
  </si>
  <si>
    <t>619.22</t>
  </si>
  <si>
    <t>3965.59</t>
  </si>
  <si>
    <t>591.73</t>
  </si>
  <si>
    <t>3993.08</t>
  </si>
  <si>
    <t>564.04</t>
  </si>
  <si>
    <t>4020.77</t>
  </si>
  <si>
    <t>536.17</t>
  </si>
  <si>
    <t>4048.64</t>
  </si>
  <si>
    <t>508.1</t>
  </si>
  <si>
    <t>4076.71</t>
  </si>
  <si>
    <t>479.83</t>
  </si>
  <si>
    <t>4104.98</t>
  </si>
  <si>
    <t>451.37</t>
  </si>
  <si>
    <t>4133.44</t>
  </si>
  <si>
    <t>422.71</t>
  </si>
  <si>
    <t>4162.1</t>
  </si>
  <si>
    <t>393.86</t>
  </si>
  <si>
    <t>4190.95</t>
  </si>
  <si>
    <t>364.8</t>
  </si>
  <si>
    <t>4220.01</t>
  </si>
  <si>
    <t>335.54</t>
  </si>
  <si>
    <t>4249.27</t>
  </si>
  <si>
    <t>306.08</t>
  </si>
  <si>
    <t>4278.73</t>
  </si>
  <si>
    <t>276.42</t>
  </si>
  <si>
    <t>4308.39</t>
  </si>
  <si>
    <t>246.54</t>
  </si>
  <si>
    <t>4338.27</t>
  </si>
  <si>
    <t>216.47</t>
  </si>
  <si>
    <t>4368.34</t>
  </si>
  <si>
    <t>186.18</t>
  </si>
  <si>
    <t>4398.63</t>
  </si>
  <si>
    <t>155.68</t>
  </si>
  <si>
    <t>4429.13</t>
  </si>
  <si>
    <t>124.98</t>
  </si>
  <si>
    <t>4459.83</t>
  </si>
  <si>
    <t>94.05</t>
  </si>
  <si>
    <t>4490.76</t>
  </si>
  <si>
    <t>62.92</t>
  </si>
  <si>
    <t>4521.89</t>
  </si>
  <si>
    <t>31.57</t>
  </si>
  <si>
    <t>4553.24</t>
  </si>
  <si>
    <t>4147.33</t>
  </si>
  <si>
    <t>645.47</t>
  </si>
  <si>
    <t>3501.86</t>
  </si>
  <si>
    <t>620.7</t>
  </si>
  <si>
    <t>3526.63</t>
  </si>
  <si>
    <t>595.75</t>
  </si>
  <si>
    <t>3551.58</t>
  </si>
  <si>
    <t>570.63</t>
  </si>
  <si>
    <t>3576.7</t>
  </si>
  <si>
    <t>545.33</t>
  </si>
  <si>
    <t>3602.0</t>
  </si>
  <si>
    <t>519.85</t>
  </si>
  <si>
    <t>3627.48</t>
  </si>
  <si>
    <t>494.19</t>
  </si>
  <si>
    <t>3653.14</t>
  </si>
  <si>
    <t>468.35</t>
  </si>
  <si>
    <t>3678.98</t>
  </si>
  <si>
    <t>442.32</t>
  </si>
  <si>
    <t>3705.01</t>
  </si>
  <si>
    <t>416.12</t>
  </si>
  <si>
    <t>3731.21</t>
  </si>
  <si>
    <t>389.72</t>
  </si>
  <si>
    <t>3757.61</t>
  </si>
  <si>
    <t>363.14</t>
  </si>
  <si>
    <t>3784.19</t>
  </si>
  <si>
    <t>336.37</t>
  </si>
  <si>
    <t>3810.96</t>
  </si>
  <si>
    <t>309.42</t>
  </si>
  <si>
    <t>3837.91</t>
  </si>
  <si>
    <t>282.27</t>
  </si>
  <si>
    <t>3865.06</t>
  </si>
  <si>
    <t>254.93</t>
  </si>
  <si>
    <t>3892.4</t>
  </si>
  <si>
    <t>227.4</t>
  </si>
  <si>
    <t>3919.93</t>
  </si>
  <si>
    <t>199.67</t>
  </si>
  <si>
    <t>3947.66</t>
  </si>
  <si>
    <t>171.74</t>
  </si>
  <si>
    <t>3975.59</t>
  </si>
  <si>
    <t>143.62</t>
  </si>
  <si>
    <t>4003.71</t>
  </si>
  <si>
    <t>115.3</t>
  </si>
  <si>
    <t>4032.03</t>
  </si>
  <si>
    <t>86.78</t>
  </si>
  <si>
    <t>4060.55</t>
  </si>
  <si>
    <t>58.06</t>
  </si>
  <si>
    <t>4089.27</t>
  </si>
  <si>
    <t>29.13</t>
  </si>
  <si>
    <t>4118.2</t>
  </si>
  <si>
    <t>AP_Unpaid_Total</t>
  </si>
  <si>
    <t>GL_AP_Control_Balance_Cell</t>
  </si>
  <si>
    <t>Variance (GL − Subledger)</t>
  </si>
  <si>
    <t>GL_Missing_Items</t>
  </si>
  <si>
    <t>Paid_per_AP</t>
  </si>
  <si>
    <t>Payments_per_Bank</t>
  </si>
  <si>
    <t>Variance_bank</t>
  </si>
  <si>
    <t>Paid_no_bank_match</t>
  </si>
  <si>
    <t>duplicate_payments</t>
  </si>
  <si>
    <t>Invoice_Tax_Total</t>
  </si>
  <si>
    <t>GL_Tax_Payable</t>
  </si>
  <si>
    <t>Variance_GL_Invoice_Tax</t>
  </si>
  <si>
    <t>Lease_Liability_Total</t>
  </si>
  <si>
    <t>ROU_Asset_Total</t>
  </si>
  <si>
    <t>GL_Lease_Liability</t>
  </si>
  <si>
    <t>GL_ROU_Asset</t>
  </si>
  <si>
    <t>GL_Lease_Liability_Variance</t>
  </si>
  <si>
    <t>GL_ROU_Asset_Variance</t>
  </si>
  <si>
    <t>Sequence_Error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</si>
</sst>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&quot;-&quot;mm&quot;-&quot;dd"/>
  </numFmts>
  <fonts count="3">
    <font>
      <sz val="10.0"/>
      <color rgb="FF000000"/>
      <name val="Arial"/>
      <scheme val="minor"/>
    </font>
    <font>
      <color rgb="FF000000"/>
      <name val="Helvetica Neue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 vertical="top"/>
    </xf>
    <xf borderId="0" fillId="0" fontId="2" numFmtId="0" xfId="0" applyAlignment="1" applyFont="1">
      <alignment vertical="top"/>
    </xf>
    <xf borderId="0" fillId="0" fontId="2" numFmtId="2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Font="1"/>
    <xf borderId="0" fillId="0" fontId="2" numFmtId="2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65" xfId="0" applyFont="1" applyNumberFormat="1"/>
    <xf borderId="0" fillId="0" fontId="2" numFmtId="165" xfId="0" applyFont="1" applyNumberFormat="1"/>
    <xf borderId="0" fillId="0" fontId="2" numFmtId="4" xfId="0" applyFont="1" applyNumberFormat="1"/>
    <xf borderId="0" fillId="0" fontId="2" numFmtId="0" xfId="0" applyFont="1"/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21" sheet="Lease_Schedule"/>
  </cacheSource>
  <cacheFields>
    <cacheField name="Lease_ID" numFmtId="0">
      <sharedItems>
        <s v="LSE-001"/>
        <s v="LSE-002"/>
        <s v="LSE-003"/>
        <s v="LSE-004"/>
      </sharedItems>
    </cacheField>
    <cacheField name="Start_Date" numFmtId="165">
      <sharedItems containsSemiMixedTypes="0" containsDate="1" containsString="0">
        <d v="2025-01-01T00:00:00Z"/>
        <d v="2025-03-01T00:00:00Z"/>
        <d v="2025-06-01T00:00:00Z"/>
      </sharedItems>
    </cacheField>
    <cacheField name="Payment_Date" numFmtId="165">
      <sharedItems containsSemiMixedTypes="0" containsDate="1" containsString="0">
        <d v="2025-01-01T00:00:00Z"/>
        <d v="2025-02-01T00:00:00Z"/>
        <d v="2025-03-01T00:00:00Z"/>
        <d v="2025-05-01T00:00:00Z"/>
        <d v="2025-06-01T00:00:00Z"/>
        <d v="2025-07-01T00:00:00Z"/>
        <d v="2025-08-01T00:00:00Z"/>
        <d v="2025-09-01T00:00:00Z"/>
        <d v="2025-10-01T00:00:00Z"/>
        <d v="2025-11-01T00:00:00Z"/>
        <d v="2025-12-01T00:00:00Z"/>
        <d v="2026-01-01T00:00:00Z"/>
        <d v="2026-02-01T00:00:00Z"/>
        <d v="2026-03-01T00:00:00Z"/>
        <d v="2026-04-01T00:00:00Z"/>
        <d v="2026-05-01T00:00:00Z"/>
        <d v="2026-06-01T00:00:00Z"/>
        <d v="2026-07-01T00:00:00Z"/>
        <d v="2026-08-01T00:00:00Z"/>
        <d v="2026-09-01T00:00:00Z"/>
        <d v="2026-10-01T00:00:00Z"/>
        <d v="2026-11-01T00:00:00Z"/>
        <d v="2026-12-01T00:00:00Z"/>
        <d v="2027-01-01T00:00:00Z"/>
        <d v="2027-02-01T00:00:00Z"/>
        <d v="2027-03-01T00:00:00Z"/>
        <d v="2027-04-01T00:00:00Z"/>
        <d v="2027-05-01T00:00:00Z"/>
        <d v="2027-06-01T00:00:00Z"/>
        <d v="2027-07-01T00:00:00Z"/>
        <d v="2027-08-01T00:00:00Z"/>
        <d v="2027-09-01T00:00:00Z"/>
        <d v="2027-10-01T00:00:00Z"/>
        <d v="2027-11-01T00:00:00Z"/>
        <d v="2027-12-01T00:00:00Z"/>
        <d v="2025-04-01T00:00:00Z"/>
        <d v="2025-05-31T00:00:00Z"/>
        <d v="2028-01-01T00:00:00Z"/>
        <d v="2028-02-01T00:00:00Z"/>
      </sharedItems>
    </cacheField>
    <cacheField name="Lease_Payment" numFmtId="0">
      <sharedItems>
        <s v="5684.7"/>
        <s v="2491.69"/>
        <s v="4584.81"/>
        <s v="4147.33"/>
      </sharedItems>
    </cacheField>
    <cacheField name="Interest_Portion" numFmtId="0">
      <sharedItems>
        <s v="1037.27"/>
        <s v="1011.19"/>
        <s v="984.96"/>
        <s v="932.07"/>
        <s v="905.39"/>
        <s v="878.57"/>
        <s v="851.6"/>
        <s v="824.48"/>
        <s v="797.2"/>
        <s v="769.78"/>
        <s v="742.19"/>
        <s v="714.46"/>
        <s v="686.56"/>
        <s v="658.51"/>
        <s v="630.31"/>
        <s v="601.94"/>
        <s v="573.42"/>
        <s v="544.73"/>
        <s v="515.89"/>
        <s v="486.88"/>
        <s v="457.71"/>
        <s v="428.38"/>
        <s v="398.88"/>
        <s v="369.22"/>
        <s v="339.39"/>
        <s v="309.39"/>
        <s v="279.22"/>
        <s v="248.89"/>
        <s v="218.38"/>
        <s v="187.71"/>
        <s v="156.86"/>
        <s v="125.84"/>
        <s v="94.64"/>
        <s v="63.27"/>
        <s v="31.72"/>
        <s v="293.95"/>
        <s v="282.42"/>
        <s v="270.84"/>
        <s v="259.19"/>
        <s v="247.48"/>
        <s v="235.71"/>
        <s v="223.88"/>
        <s v="211.99"/>
        <s v="200.04"/>
        <s v="188.02"/>
        <s v="175.94"/>
        <s v="163.79"/>
        <s v="151.59"/>
        <s v="139.31"/>
        <s v="126.98"/>
        <s v="114.58"/>
        <s v="102.11"/>
        <s v="89.58"/>
        <s v="76.98"/>
        <s v="64.32"/>
        <s v="51.59"/>
        <s v="38.79"/>
        <s v="25.93"/>
        <s v="13.0"/>
        <s v="1009.63"/>
        <s v="984.84"/>
        <s v="959.88"/>
        <s v="934.75"/>
        <s v="909.44"/>
        <s v="883.96"/>
        <s v="858.3"/>
        <s v="832.47"/>
        <s v="806.45"/>
        <s v="780.26"/>
        <s v="753.88"/>
        <s v="727.32"/>
        <s v="700.57"/>
        <s v="673.64"/>
        <s v="646.53"/>
        <s v="619.22"/>
        <s v="591.73"/>
        <s v="564.04"/>
        <s v="536.17"/>
        <s v="508.1"/>
        <s v="479.83"/>
        <s v="451.37"/>
        <s v="422.71"/>
        <s v="393.86"/>
        <s v="364.8"/>
        <s v="335.54"/>
        <s v="306.08"/>
        <s v="276.42"/>
        <s v="246.54"/>
        <s v="216.47"/>
        <s v="186.18"/>
        <s v="155.68"/>
        <s v="124.98"/>
        <s v="94.05"/>
        <s v="62.92"/>
        <s v="31.57"/>
        <s v="645.47"/>
        <s v="620.7"/>
        <s v="595.75"/>
        <s v="570.63"/>
        <s v="545.33"/>
        <s v="519.85"/>
        <s v="494.19"/>
        <s v="468.35"/>
        <s v="442.32"/>
        <s v="416.12"/>
        <s v="389.72"/>
        <s v="363.14"/>
        <s v="336.37"/>
        <s v="309.42"/>
        <s v="282.27"/>
        <s v="254.93"/>
        <s v="227.4"/>
        <s v="199.67"/>
        <s v="171.74"/>
        <s v="143.62"/>
        <s v="115.3"/>
        <s v="86.78"/>
        <s v="58.06"/>
        <s v="29.13"/>
      </sharedItems>
    </cacheField>
    <cacheField name="Principal_Portion" numFmtId="0">
      <sharedItems>
        <s v="4647.43"/>
        <s v="4673.51"/>
        <s v="4699.74"/>
        <s v="4752.63"/>
        <s v="4779.31"/>
        <s v="4806.13"/>
        <s v="4833.1"/>
        <s v="4860.22"/>
        <s v="4887.5"/>
        <s v="4914.92"/>
        <s v="4942.51"/>
        <s v="4970.24"/>
        <s v="4998.14"/>
        <s v="5026.19"/>
        <s v="5054.39"/>
        <s v="5082.76"/>
        <s v="5111.28"/>
        <s v="5139.97"/>
        <s v="5168.81"/>
        <s v="5197.82"/>
        <s v="5226.99"/>
        <s v="5256.32"/>
        <s v="5285.82"/>
        <s v="5315.48"/>
        <s v="5345.31"/>
        <s v="5375.31"/>
        <s v="5405.48"/>
        <s v="5435.81"/>
        <s v="5466.32"/>
        <s v="5496.99"/>
        <s v="5527.84"/>
        <s v="5558.86"/>
        <s v="5590.06"/>
        <s v="5621.43"/>
        <s v="5652.95"/>
        <s v="2197.74"/>
        <s v="2209.27"/>
        <s v="2220.85"/>
        <s v="2232.5"/>
        <s v="2244.21"/>
        <s v="2255.98"/>
        <s v="2267.81"/>
        <s v="2279.7"/>
        <s v="2291.65"/>
        <s v="2303.67"/>
        <s v="2315.75"/>
        <s v="2327.9"/>
        <s v="2340.1"/>
        <s v="2352.38"/>
        <s v="2364.71"/>
        <s v="2377.11"/>
        <s v="2389.58"/>
        <s v="2402.11"/>
        <s v="2414.71"/>
        <s v="2427.37"/>
        <s v="2440.1"/>
        <s v="2452.9"/>
        <s v="2465.76"/>
        <s v="2478.69"/>
        <s v="3575.18"/>
        <s v="3599.97"/>
        <s v="3774.93"/>
        <s v="3650.06"/>
        <s v="3675.37"/>
        <s v="3700.85"/>
        <s v="3726.51"/>
        <s v="3752.34"/>
        <s v="3778.36"/>
        <s v="3804.55"/>
        <s v="3830.93"/>
        <s v="3857.49"/>
        <s v="3884.24"/>
        <s v="3911.17"/>
        <s v="3938.28"/>
        <s v="3965.59"/>
        <s v="3993.08"/>
        <s v="4020.77"/>
        <s v="4048.64"/>
        <s v="4076.71"/>
        <s v="4104.98"/>
        <s v="4133.44"/>
        <s v="4162.1"/>
        <s v="4190.95"/>
        <s v="4220.01"/>
        <s v="4249.27"/>
        <s v="4278.73"/>
        <s v="4308.39"/>
        <s v="4338.27"/>
        <s v="4368.34"/>
        <s v="4398.63"/>
        <s v="4429.13"/>
        <s v="4459.83"/>
        <s v="4490.76"/>
        <s v="4521.89"/>
        <s v="4553.24"/>
        <s v="3501.86"/>
        <s v="3526.63"/>
        <s v="3551.58"/>
        <s v="3576.7"/>
        <s v="3602.0"/>
        <s v="3627.48"/>
        <s v="3653.14"/>
        <s v="3678.98"/>
        <s v="3705.01"/>
        <s v="3731.21"/>
        <s v="3757.61"/>
        <s v="3784.19"/>
        <s v="3810.96"/>
        <s v="3837.91"/>
        <s v="3865.06"/>
        <s v="3892.4"/>
        <s v="3919.93"/>
        <s v="3947.66"/>
        <s v="3975.59"/>
        <s v="4003.71"/>
        <s v="4032.03"/>
        <s v="4060.55"/>
        <s v="4089.27"/>
        <s v="4118.2"/>
      </sharedItems>
    </cacheField>
    <cacheField name="Ending_Lease_Liability" numFmtId="0">
      <sharedItems containsSemiMixedTypes="0" containsString="0" containsNumber="1">
        <n v="179699.41"/>
        <n v="174565.14"/>
        <n v="169430.87"/>
        <n v="159162.33"/>
        <n v="154028.06"/>
        <n v="148893.79"/>
        <n v="143759.52"/>
        <n v="138625.25"/>
        <n v="133490.98"/>
        <n v="128356.71"/>
        <n v="123222.44"/>
        <n v="118088.17"/>
        <n v="112953.9"/>
        <n v="107819.63"/>
        <n v="102685.36"/>
        <n v="97551.09"/>
        <n v="92416.82"/>
        <n v="87282.55"/>
        <n v="82148.28"/>
        <n v="77014.01"/>
        <n v="71879.74"/>
        <n v="66745.47"/>
        <n v="61611.2"/>
        <n v="56476.93"/>
        <n v="51342.66"/>
        <n v="46208.39"/>
        <n v="41074.12"/>
        <n v="35939.85"/>
        <n v="30805.58"/>
        <n v="25671.31"/>
        <n v="20537.04"/>
        <n v="15402.77"/>
        <n v="10268.5"/>
        <n v="5134.23"/>
        <n v="0.0"/>
        <n v="53717.03"/>
        <n v="51381.51"/>
        <n v="49045.99"/>
        <n v="46710.47"/>
        <n v="44374.95"/>
        <n v="42039.43"/>
        <n v="39703.91"/>
        <n v="37368.39"/>
        <n v="35032.87"/>
        <n v="32697.35"/>
        <n v="30361.83"/>
        <n v="28026.31"/>
        <n v="25690.79"/>
        <n v="23355.27"/>
        <n v="21019.75"/>
        <n v="18684.23"/>
        <n v="16348.71"/>
        <n v="14013.19"/>
        <n v="11677.67"/>
        <n v="9342.15"/>
        <n v="7006.63"/>
        <n v="4671.11"/>
        <n v="2335.59"/>
        <n v="0.07"/>
        <n v="141577.91"/>
        <n v="137532.83"/>
        <n v="133487.75"/>
        <n v="129442.67"/>
        <n v="125397.59"/>
        <n v="121352.51"/>
        <n v="117307.43"/>
        <n v="113262.35"/>
        <n v="109217.27"/>
        <n v="105172.19"/>
        <n v="101127.11"/>
        <n v="97082.03"/>
        <n v="93036.95"/>
        <n v="88991.87"/>
        <n v="84946.79"/>
        <n v="80901.71"/>
        <n v="76856.63"/>
        <n v="72811.55"/>
        <n v="68766.47"/>
        <n v="64721.39"/>
        <n v="60676.31"/>
        <n v="56631.23"/>
        <n v="52586.15"/>
        <n v="48541.07"/>
        <n v="44495.99"/>
        <n v="40450.91"/>
        <n v="36405.83"/>
        <n v="32360.75"/>
        <n v="28315.67"/>
        <n v="24270.59"/>
        <n v="20225.51"/>
        <n v="16180.43"/>
        <n v="12135.35"/>
        <n v="8090.27"/>
        <n v="4045.19"/>
        <n v="0.11"/>
        <n v="87447.6"/>
        <n v="83645.53"/>
        <n v="79843.46"/>
        <n v="76041.39"/>
        <n v="72239.32"/>
        <n v="68437.25"/>
        <n v="64635.18"/>
        <n v="60833.11"/>
        <n v="57031.04"/>
        <n v="53228.97"/>
        <n v="49426.9"/>
        <n v="45624.83"/>
        <n v="41822.76"/>
        <n v="38020.69"/>
        <n v="34218.62"/>
        <n v="30416.55"/>
        <n v="26614.48"/>
        <n v="22812.41"/>
        <n v="19010.34"/>
        <n v="15208.27"/>
        <n v="11406.2"/>
        <n v="7604.13"/>
        <n v="3802.06"/>
      </sharedItems>
    </cacheField>
    <cacheField name="ROU_Asset_Balance" numFmtId="0">
      <sharedItems containsSemiMixedTypes="0" containsString="0" containsNumber="1">
        <n v="179699.41"/>
        <n v="174565.14"/>
        <n v="169430.87"/>
        <n v="159162.33"/>
        <n v="154028.06"/>
        <n v="148893.79"/>
        <n v="143759.52"/>
        <n v="138625.25"/>
        <n v="133490.98"/>
        <n v="128356.71"/>
        <n v="123222.44"/>
        <n v="118088.17"/>
        <n v="112953.9"/>
        <n v="107819.63"/>
        <n v="102685.36"/>
        <n v="97551.09"/>
        <n v="92416.82"/>
        <n v="87282.55"/>
        <n v="82148.28"/>
        <n v="77014.01"/>
        <n v="71879.74"/>
        <n v="66745.47"/>
        <n v="61611.2"/>
        <n v="56476.93"/>
        <n v="51342.66"/>
        <n v="46208.39"/>
        <n v="41074.12"/>
        <n v="35939.85"/>
        <n v="30805.58"/>
        <n v="25671.31"/>
        <n v="20537.04"/>
        <n v="15402.77"/>
        <n v="10268.5"/>
        <n v="5134.23"/>
        <n v="0.0"/>
        <n v="53717.03"/>
        <n v="51381.51"/>
        <n v="49045.99"/>
        <n v="46710.47"/>
        <n v="44374.95"/>
        <n v="42039.43"/>
        <n v="39703.91"/>
        <n v="37368.39"/>
        <n v="35032.87"/>
        <n v="32697.35"/>
        <n v="30361.83"/>
        <n v="28026.31"/>
        <n v="25690.79"/>
        <n v="23355.27"/>
        <n v="21019.75"/>
        <n v="18684.23"/>
        <n v="16348.71"/>
        <n v="14013.19"/>
        <n v="11677.67"/>
        <n v="9342.15"/>
        <n v="7006.63"/>
        <n v="4671.11"/>
        <n v="2335.59"/>
        <n v="0.07"/>
        <n v="141577.91"/>
        <n v="137532.83"/>
        <n v="133487.75"/>
        <n v="129442.67"/>
        <n v="125397.59"/>
        <n v="121352.51"/>
        <n v="117307.43"/>
        <n v="113262.35"/>
        <n v="109217.27"/>
        <n v="105172.19"/>
        <n v="101127.11"/>
        <n v="97082.03"/>
        <n v="93036.95"/>
        <n v="88991.87"/>
        <n v="84946.79"/>
        <n v="80901.71"/>
        <n v="76856.63"/>
        <n v="72811.55"/>
        <n v="68766.47"/>
        <n v="64721.39"/>
        <n v="60676.31"/>
        <n v="56631.23"/>
        <n v="52586.15"/>
        <n v="48541.07"/>
        <n v="44495.99"/>
        <n v="40450.91"/>
        <n v="36405.83"/>
        <n v="32360.75"/>
        <n v="28315.67"/>
        <n v="24270.59"/>
        <n v="20225.51"/>
        <n v="16180.43"/>
        <n v="12135.35"/>
        <n v="8090.27"/>
        <n v="4045.19"/>
        <n v="0.11"/>
        <n v="87447.6"/>
        <n v="83645.53"/>
        <n v="79843.46"/>
        <n v="76041.39"/>
        <n v="72239.32"/>
        <n v="68437.25"/>
        <n v="64635.18"/>
        <n v="60833.11"/>
        <n v="57031.04"/>
        <n v="53228.97"/>
        <n v="49426.9"/>
        <n v="45624.83"/>
        <n v="41822.76"/>
        <n v="38020.69"/>
        <n v="34218.62"/>
        <n v="30416.55"/>
        <n v="26614.48"/>
        <n v="22812.41"/>
        <n v="19010.34"/>
        <n v="15208.27"/>
        <n v="11406.2"/>
        <n v="7604.13"/>
        <n v="3802.06"/>
      </sharedItems>
    </cacheField>
    <cacheField name="IP_Sum" numFmtId="0">
      <sharedItems>
        <s v="5684.700000000001"/>
        <s v="5684.7"/>
        <s v="5684.67"/>
        <s v="2491.6899999999996"/>
        <s v="2491.69"/>
        <s v="4584.8099999999995"/>
        <s v="4734.8099999999995"/>
        <s v="4584.81"/>
        <s v="4147.33"/>
      </sharedItems>
    </cacheField>
    <cacheField name="IP_Sum_Diff" numFmtId="0">
      <sharedItems>
        <s v="-9.094947017729282e-13"/>
        <s v="0.0"/>
        <s v="0.02999999999974534"/>
        <s v="4.547473508864641e-13"/>
        <s v="9.094947017729282e-13"/>
        <s v="-149.9999999999991"/>
      </sharedItems>
    </cacheField>
    <cacheField name="IP_Sum_Mismatch_Flag" numFmtId="0">
      <sharedItems>
        <s v="False"/>
        <s v="Tru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Lease_Pivot" cacheId="0" dataCaption="" rowGrandTotals="0" compact="0" compactData="0">
  <location ref="B4:D8" firstHeaderRow="0" firstDataRow="2" firstDataCol="0" rowPageCount="1" colPageCount="1"/>
  <pivotFields>
    <pivotField name="Lease_ID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Start_Date" compact="0" numFmtId="165" outline="0" multipleItemSelectionAllowed="1" showAll="0">
      <items>
        <item x="0"/>
        <item x="1"/>
        <item x="2"/>
        <item t="default"/>
      </items>
    </pivotField>
    <pivotField name="Payment_Date" axis="axisPag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Lease_Payment" compact="0" outline="0" multipleItemSelectionAllowed="1" showAll="0">
      <items>
        <item x="0"/>
        <item x="1"/>
        <item x="2"/>
        <item x="3"/>
        <item t="default"/>
      </items>
    </pivotField>
    <pivotField name="Interest_Por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Principal_Por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Ending_Lease_Liabil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name="ROU_Asset_Balan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name="IP_S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IP_Sum_Diff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P_Sum_Mismatch_Flag" compact="0" outline="0" multipleItemSelectionAllowed="1" showAll="0">
      <items>
        <item x="0"/>
        <item x="1"/>
        <item t="default"/>
      </items>
    </pivotField>
  </pivotFields>
  <rowFields>
    <field x="0"/>
  </rowFields>
  <colFields>
    <field x="-2"/>
  </colFields>
  <pageFields>
    <pageField fld="2"/>
  </pageFields>
  <dataFields>
    <dataField name="MAX of Ending_Lease_Liability" fld="6" subtotal="max" baseField="0"/>
    <dataField name="MAX of ROU_Asset_Balance" fld="7" subtotal="max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</row>
    <row r="2">
      <c r="A2" s="1" t="s">
        <v>17</v>
      </c>
      <c r="B2" s="1" t="s">
        <v>18</v>
      </c>
      <c r="C2" s="3">
        <v>45760.0</v>
      </c>
      <c r="D2" s="3">
        <v>45790.0</v>
      </c>
      <c r="E2" s="1" t="s">
        <v>19</v>
      </c>
      <c r="F2" s="1" t="s">
        <v>20</v>
      </c>
      <c r="G2" s="1">
        <v>4994.15</v>
      </c>
      <c r="H2" s="1" t="s">
        <v>21</v>
      </c>
      <c r="I2" s="1">
        <v>349.59</v>
      </c>
      <c r="J2" s="1">
        <f t="shared" ref="J2:J351" si="1">IF(RAND()&lt;0.23, M2 + RANDBETWEEN(-150,150)/100, M2)
</f>
        <v>5343.74</v>
      </c>
      <c r="K2" s="1" t="b">
        <v>1</v>
      </c>
      <c r="L2" s="3">
        <v>45785.0</v>
      </c>
      <c r="M2" s="1">
        <v>5343.74</v>
      </c>
      <c r="N2" s="1" t="b">
        <f t="shared" ref="N2:N351" si="2">IF(ABS(VALUE(M2) - VALUE(J2)) &gt; 0.01, TRUE, FALSE)
</f>
        <v>0</v>
      </c>
      <c r="O2" s="1" t="b">
        <f t="shared" ref="O2:O351" si="3">IF(OR(K2=FALSE, IFERROR(L2&gt;DATE(2025,12,31), TRUE)), TRUE, FALSE)
</f>
        <v>0</v>
      </c>
      <c r="P2" s="1" t="str">
        <f t="shared" ref="P2:P351" si="4">B2 &amp; "|" &amp; (-1 * J2)
</f>
        <v>Tri-County Services|-5343.74</v>
      </c>
      <c r="Q2" s="1" t="str">
        <f t="shared" ref="Q2:Q351" si="5">IF(K2=FALSE, "Unpaid",
   IF(ISNUMBER(MATCH(P2, Bank_Transactions!H:H, 0)),
      "Matched in Bank",
      "Paid but No Bank Match"))
</f>
        <v>Paid but No Bank Match</v>
      </c>
    </row>
    <row r="3">
      <c r="A3" s="1" t="s">
        <v>22</v>
      </c>
      <c r="B3" s="1" t="s">
        <v>23</v>
      </c>
      <c r="C3" s="3">
        <v>45760.0</v>
      </c>
      <c r="D3" s="3">
        <v>45790.0</v>
      </c>
      <c r="E3" s="1" t="s">
        <v>19</v>
      </c>
      <c r="F3" s="1" t="s">
        <v>24</v>
      </c>
      <c r="G3" s="1">
        <v>2949.39</v>
      </c>
      <c r="H3" s="1" t="s">
        <v>25</v>
      </c>
      <c r="I3" s="1">
        <v>176.96</v>
      </c>
      <c r="J3" s="1">
        <f t="shared" si="1"/>
        <v>3126.35</v>
      </c>
      <c r="K3" s="1" t="b">
        <v>1</v>
      </c>
      <c r="L3" s="3">
        <v>45788.0</v>
      </c>
      <c r="M3" s="1">
        <v>3126.35</v>
      </c>
      <c r="N3" s="1" t="b">
        <f t="shared" si="2"/>
        <v>0</v>
      </c>
      <c r="O3" s="1" t="b">
        <f t="shared" si="3"/>
        <v>0</v>
      </c>
      <c r="P3" s="1" t="str">
        <f t="shared" si="4"/>
        <v>Atlantic Fiber Co|-3126.35</v>
      </c>
      <c r="Q3" s="1" t="str">
        <f t="shared" si="5"/>
        <v>Paid but No Bank Match</v>
      </c>
    </row>
    <row r="4">
      <c r="A4" s="1" t="s">
        <v>26</v>
      </c>
      <c r="B4" s="1" t="s">
        <v>27</v>
      </c>
      <c r="C4" s="3">
        <v>45788.0</v>
      </c>
      <c r="D4" s="3">
        <v>45818.0</v>
      </c>
      <c r="E4" s="1" t="s">
        <v>19</v>
      </c>
      <c r="F4" s="1" t="s">
        <v>28</v>
      </c>
      <c r="G4" s="1">
        <v>24262.79</v>
      </c>
      <c r="H4" s="1" t="s">
        <v>21</v>
      </c>
      <c r="I4" s="1">
        <v>1698.4</v>
      </c>
      <c r="J4" s="1">
        <f t="shared" si="1"/>
        <v>25961.19</v>
      </c>
      <c r="K4" s="1" t="b">
        <v>1</v>
      </c>
      <c r="L4" s="3">
        <v>45830.0</v>
      </c>
      <c r="M4" s="1">
        <v>25961.19</v>
      </c>
      <c r="N4" s="1" t="b">
        <f t="shared" si="2"/>
        <v>0</v>
      </c>
      <c r="O4" s="1" t="b">
        <f t="shared" si="3"/>
        <v>0</v>
      </c>
      <c r="P4" s="1" t="str">
        <f t="shared" si="4"/>
        <v>Sunline Electrical|-25961.19</v>
      </c>
      <c r="Q4" s="1" t="str">
        <f t="shared" si="5"/>
        <v>Paid but No Bank Match</v>
      </c>
    </row>
    <row r="5">
      <c r="A5" s="1" t="s">
        <v>29</v>
      </c>
      <c r="B5" s="1" t="s">
        <v>30</v>
      </c>
      <c r="C5" s="3">
        <v>45849.0</v>
      </c>
      <c r="D5" s="3">
        <v>45879.0</v>
      </c>
      <c r="E5" s="1" t="s">
        <v>31</v>
      </c>
      <c r="F5" s="1" t="s">
        <v>32</v>
      </c>
      <c r="G5" s="1">
        <v>15628.3</v>
      </c>
      <c r="H5" s="1" t="s">
        <v>25</v>
      </c>
      <c r="I5" s="1">
        <v>937.7</v>
      </c>
      <c r="J5" s="1">
        <f t="shared" si="1"/>
        <v>16566</v>
      </c>
      <c r="K5" s="1" t="b">
        <v>1</v>
      </c>
      <c r="L5" s="3">
        <v>45902.0</v>
      </c>
      <c r="M5" s="1">
        <v>16566.0</v>
      </c>
      <c r="N5" s="1" t="b">
        <f t="shared" si="2"/>
        <v>0</v>
      </c>
      <c r="O5" s="1" t="b">
        <f t="shared" si="3"/>
        <v>0</v>
      </c>
      <c r="P5" s="1" t="str">
        <f t="shared" si="4"/>
        <v>Tidal Contractors|-16566</v>
      </c>
      <c r="Q5" s="1" t="str">
        <f t="shared" si="5"/>
        <v>Paid but No Bank Match</v>
      </c>
    </row>
    <row r="6">
      <c r="A6" s="1" t="s">
        <v>33</v>
      </c>
      <c r="B6" s="1" t="s">
        <v>23</v>
      </c>
      <c r="C6" s="3">
        <v>45716.0</v>
      </c>
      <c r="D6" s="3">
        <v>45761.0</v>
      </c>
      <c r="E6" s="1" t="s">
        <v>31</v>
      </c>
      <c r="F6" s="1" t="s">
        <v>20</v>
      </c>
      <c r="G6" s="1">
        <v>1643.31</v>
      </c>
      <c r="H6" s="1" t="s">
        <v>34</v>
      </c>
      <c r="I6" s="1">
        <v>123.25</v>
      </c>
      <c r="J6" s="1">
        <f t="shared" si="1"/>
        <v>1767.02</v>
      </c>
      <c r="K6" s="1" t="b">
        <v>0</v>
      </c>
      <c r="L6" s="4"/>
      <c r="M6" s="1">
        <v>1766.56</v>
      </c>
      <c r="N6" s="1" t="b">
        <f t="shared" si="2"/>
        <v>1</v>
      </c>
      <c r="O6" s="1" t="b">
        <f t="shared" si="3"/>
        <v>1</v>
      </c>
      <c r="P6" s="1" t="str">
        <f t="shared" si="4"/>
        <v>Atlantic Fiber Co|-1767.02</v>
      </c>
      <c r="Q6" s="1" t="str">
        <f t="shared" si="5"/>
        <v>Unpaid</v>
      </c>
    </row>
    <row r="7">
      <c r="A7" s="1" t="s">
        <v>35</v>
      </c>
      <c r="B7" s="1" t="s">
        <v>36</v>
      </c>
      <c r="C7" s="3">
        <v>45928.0</v>
      </c>
      <c r="D7" s="3">
        <v>45973.0</v>
      </c>
      <c r="E7" s="1" t="s">
        <v>37</v>
      </c>
      <c r="F7" s="1" t="s">
        <v>20</v>
      </c>
      <c r="G7" s="1">
        <v>19736.81</v>
      </c>
      <c r="H7" s="1" t="s">
        <v>21</v>
      </c>
      <c r="I7" s="1">
        <v>1381.58</v>
      </c>
      <c r="J7" s="1">
        <f t="shared" si="1"/>
        <v>21118.39</v>
      </c>
      <c r="K7" s="1" t="b">
        <v>1</v>
      </c>
      <c r="L7" s="3">
        <v>45987.0</v>
      </c>
      <c r="M7" s="1">
        <v>21118.39</v>
      </c>
      <c r="N7" s="1" t="b">
        <f t="shared" si="2"/>
        <v>0</v>
      </c>
      <c r="O7" s="1" t="b">
        <f t="shared" si="3"/>
        <v>0</v>
      </c>
      <c r="P7" s="1" t="str">
        <f t="shared" si="4"/>
        <v>Tampa Grid Services|-21118.39</v>
      </c>
      <c r="Q7" s="1" t="str">
        <f t="shared" si="5"/>
        <v>Paid but No Bank Match</v>
      </c>
    </row>
    <row r="8">
      <c r="A8" s="1" t="s">
        <v>38</v>
      </c>
      <c r="B8" s="1" t="s">
        <v>23</v>
      </c>
      <c r="C8" s="3">
        <v>45901.0</v>
      </c>
      <c r="D8" s="3">
        <v>45946.0</v>
      </c>
      <c r="E8" s="1" t="s">
        <v>19</v>
      </c>
      <c r="F8" s="1" t="s">
        <v>24</v>
      </c>
      <c r="G8" s="1">
        <v>1638.04</v>
      </c>
      <c r="H8" s="1" t="s">
        <v>25</v>
      </c>
      <c r="I8" s="1">
        <v>98.28</v>
      </c>
      <c r="J8" s="1">
        <f t="shared" si="1"/>
        <v>1736.32</v>
      </c>
      <c r="K8" s="1" t="b">
        <v>1</v>
      </c>
      <c r="L8" s="3">
        <v>45926.0</v>
      </c>
      <c r="M8" s="1">
        <v>1736.32</v>
      </c>
      <c r="N8" s="1" t="b">
        <f t="shared" si="2"/>
        <v>0</v>
      </c>
      <c r="O8" s="1" t="b">
        <f t="shared" si="3"/>
        <v>0</v>
      </c>
      <c r="P8" s="1" t="str">
        <f t="shared" si="4"/>
        <v>Atlantic Fiber Co|-1736.32</v>
      </c>
      <c r="Q8" s="1" t="str">
        <f t="shared" si="5"/>
        <v>Paid but No Bank Match</v>
      </c>
    </row>
    <row r="9">
      <c r="A9" s="1" t="s">
        <v>39</v>
      </c>
      <c r="B9" s="1" t="s">
        <v>40</v>
      </c>
      <c r="C9" s="3">
        <v>45986.0</v>
      </c>
      <c r="D9" s="3">
        <v>46031.0</v>
      </c>
      <c r="E9" s="1" t="s">
        <v>37</v>
      </c>
      <c r="F9" s="1" t="s">
        <v>20</v>
      </c>
      <c r="G9" s="1">
        <v>23747.7</v>
      </c>
      <c r="H9" s="1" t="s">
        <v>34</v>
      </c>
      <c r="I9" s="1">
        <v>1781.08</v>
      </c>
      <c r="J9" s="1">
        <f t="shared" si="1"/>
        <v>25528.78</v>
      </c>
      <c r="K9" s="1" t="b">
        <v>0</v>
      </c>
      <c r="L9" s="4"/>
      <c r="M9" s="1">
        <v>25528.78</v>
      </c>
      <c r="N9" s="1" t="b">
        <f t="shared" si="2"/>
        <v>0</v>
      </c>
      <c r="O9" s="1" t="b">
        <f t="shared" si="3"/>
        <v>1</v>
      </c>
      <c r="P9" s="1" t="str">
        <f t="shared" si="4"/>
        <v>Gulf Coast Telecom|-25528.78</v>
      </c>
      <c r="Q9" s="1" t="str">
        <f t="shared" si="5"/>
        <v>Unpaid</v>
      </c>
    </row>
    <row r="10">
      <c r="A10" s="1" t="s">
        <v>41</v>
      </c>
      <c r="B10" s="1" t="s">
        <v>42</v>
      </c>
      <c r="C10" s="3">
        <v>45899.0</v>
      </c>
      <c r="D10" s="3">
        <v>45944.0</v>
      </c>
      <c r="E10" s="1" t="s">
        <v>31</v>
      </c>
      <c r="F10" s="1" t="s">
        <v>24</v>
      </c>
      <c r="G10" s="1">
        <v>891.17</v>
      </c>
      <c r="H10" s="1" t="s">
        <v>25</v>
      </c>
      <c r="I10" s="1">
        <v>53.47</v>
      </c>
      <c r="J10" s="1">
        <f t="shared" si="1"/>
        <v>944.64</v>
      </c>
      <c r="K10" s="1" t="b">
        <v>1</v>
      </c>
      <c r="L10" s="3">
        <v>45963.0</v>
      </c>
      <c r="M10" s="1">
        <v>944.64</v>
      </c>
      <c r="N10" s="1" t="b">
        <f t="shared" si="2"/>
        <v>0</v>
      </c>
      <c r="O10" s="1" t="b">
        <f t="shared" si="3"/>
        <v>0</v>
      </c>
      <c r="P10" s="1" t="str">
        <f t="shared" si="4"/>
        <v>BrightPower Partners|-944.64</v>
      </c>
      <c r="Q10" s="1" t="str">
        <f t="shared" si="5"/>
        <v>Paid but No Bank Match</v>
      </c>
    </row>
    <row r="11">
      <c r="A11" s="1" t="s">
        <v>43</v>
      </c>
      <c r="B11" s="1" t="s">
        <v>40</v>
      </c>
      <c r="C11" s="3">
        <v>45921.0</v>
      </c>
      <c r="D11" s="3">
        <v>45966.0</v>
      </c>
      <c r="E11" s="1" t="s">
        <v>31</v>
      </c>
      <c r="F11" s="1" t="s">
        <v>20</v>
      </c>
      <c r="G11" s="1">
        <v>22778.35</v>
      </c>
      <c r="H11" s="1" t="s">
        <v>21</v>
      </c>
      <c r="I11" s="1">
        <v>1594.48</v>
      </c>
      <c r="J11" s="1">
        <f t="shared" si="1"/>
        <v>24372.83</v>
      </c>
      <c r="K11" s="1" t="b">
        <v>1</v>
      </c>
      <c r="L11" s="3">
        <v>45929.0</v>
      </c>
      <c r="M11" s="1">
        <v>24372.83</v>
      </c>
      <c r="N11" s="1" t="b">
        <f t="shared" si="2"/>
        <v>0</v>
      </c>
      <c r="O11" s="1" t="b">
        <f t="shared" si="3"/>
        <v>0</v>
      </c>
      <c r="P11" s="1" t="str">
        <f t="shared" si="4"/>
        <v>Gulf Coast Telecom|-24372.83</v>
      </c>
      <c r="Q11" s="1" t="str">
        <f t="shared" si="5"/>
        <v>Paid but No Bank Match</v>
      </c>
    </row>
    <row r="12">
      <c r="A12" s="1" t="s">
        <v>44</v>
      </c>
      <c r="B12" s="1" t="s">
        <v>42</v>
      </c>
      <c r="C12" s="3">
        <v>45659.0</v>
      </c>
      <c r="D12" s="3">
        <v>45689.0</v>
      </c>
      <c r="E12" s="1" t="s">
        <v>19</v>
      </c>
      <c r="F12" s="1" t="s">
        <v>28</v>
      </c>
      <c r="G12" s="1">
        <v>5594.57</v>
      </c>
      <c r="H12" s="1" t="s">
        <v>45</v>
      </c>
      <c r="I12" s="1">
        <v>363.65</v>
      </c>
      <c r="J12" s="1">
        <f t="shared" si="1"/>
        <v>5958.91</v>
      </c>
      <c r="K12" s="1" t="b">
        <v>1</v>
      </c>
      <c r="L12" s="3">
        <v>45726.0</v>
      </c>
      <c r="M12" s="1">
        <v>5958.22</v>
      </c>
      <c r="N12" s="1" t="b">
        <f t="shared" si="2"/>
        <v>1</v>
      </c>
      <c r="O12" s="1" t="b">
        <f t="shared" si="3"/>
        <v>0</v>
      </c>
      <c r="P12" s="1" t="str">
        <f t="shared" si="4"/>
        <v>BrightPower Partners|-5958.91</v>
      </c>
      <c r="Q12" s="1" t="str">
        <f t="shared" si="5"/>
        <v>Paid but No Bank Match</v>
      </c>
    </row>
    <row r="13">
      <c r="A13" s="1" t="s">
        <v>46</v>
      </c>
      <c r="B13" s="1" t="s">
        <v>40</v>
      </c>
      <c r="C13" s="3">
        <v>45875.0</v>
      </c>
      <c r="D13" s="3">
        <v>45905.0</v>
      </c>
      <c r="E13" s="1" t="s">
        <v>19</v>
      </c>
      <c r="F13" s="1" t="s">
        <v>47</v>
      </c>
      <c r="G13" s="1">
        <v>10181.18</v>
      </c>
      <c r="H13" s="1" t="s">
        <v>45</v>
      </c>
      <c r="I13" s="1">
        <v>661.78</v>
      </c>
      <c r="J13" s="1">
        <f t="shared" si="1"/>
        <v>10842.96</v>
      </c>
      <c r="K13" s="1" t="b">
        <v>0</v>
      </c>
      <c r="L13" s="4"/>
      <c r="M13" s="1">
        <v>10842.96</v>
      </c>
      <c r="N13" s="1" t="b">
        <f t="shared" si="2"/>
        <v>0</v>
      </c>
      <c r="O13" s="1" t="b">
        <f t="shared" si="3"/>
        <v>1</v>
      </c>
      <c r="P13" s="1" t="str">
        <f t="shared" si="4"/>
        <v>Gulf Coast Telecom|-10842.96</v>
      </c>
      <c r="Q13" s="1" t="str">
        <f t="shared" si="5"/>
        <v>Unpaid</v>
      </c>
    </row>
    <row r="14">
      <c r="A14" s="1" t="s">
        <v>48</v>
      </c>
      <c r="B14" s="1" t="s">
        <v>49</v>
      </c>
      <c r="C14" s="3">
        <v>46008.0</v>
      </c>
      <c r="D14" s="3">
        <v>46053.0</v>
      </c>
      <c r="E14" s="1" t="s">
        <v>50</v>
      </c>
      <c r="F14" s="1" t="s">
        <v>51</v>
      </c>
      <c r="G14" s="1">
        <v>2668.07</v>
      </c>
      <c r="H14" s="1" t="s">
        <v>45</v>
      </c>
      <c r="I14" s="1">
        <v>173.42</v>
      </c>
      <c r="J14" s="1">
        <f t="shared" si="1"/>
        <v>2841.49</v>
      </c>
      <c r="K14" s="1" t="b">
        <v>0</v>
      </c>
      <c r="L14" s="4"/>
      <c r="M14" s="1">
        <v>2841.49</v>
      </c>
      <c r="N14" s="1" t="b">
        <f t="shared" si="2"/>
        <v>0</v>
      </c>
      <c r="O14" s="1" t="b">
        <f t="shared" si="3"/>
        <v>1</v>
      </c>
      <c r="P14" s="1" t="str">
        <f t="shared" si="4"/>
        <v>Sunshine Equipment|-2841.49</v>
      </c>
      <c r="Q14" s="1" t="str">
        <f t="shared" si="5"/>
        <v>Unpaid</v>
      </c>
    </row>
    <row r="15">
      <c r="A15" s="1" t="s">
        <v>52</v>
      </c>
      <c r="B15" s="1" t="s">
        <v>23</v>
      </c>
      <c r="C15" s="3">
        <v>45953.0</v>
      </c>
      <c r="D15" s="3">
        <v>45998.0</v>
      </c>
      <c r="E15" s="1" t="s">
        <v>19</v>
      </c>
      <c r="F15" s="1" t="s">
        <v>28</v>
      </c>
      <c r="G15" s="1">
        <v>18809.34</v>
      </c>
      <c r="H15" s="1" t="s">
        <v>21</v>
      </c>
      <c r="I15" s="1">
        <v>1316.65</v>
      </c>
      <c r="J15" s="1">
        <f t="shared" si="1"/>
        <v>20125.99</v>
      </c>
      <c r="K15" s="1" t="b">
        <v>1</v>
      </c>
      <c r="L15" s="3">
        <v>45981.0</v>
      </c>
      <c r="M15" s="1">
        <v>20125.99</v>
      </c>
      <c r="N15" s="1" t="b">
        <f t="shared" si="2"/>
        <v>0</v>
      </c>
      <c r="O15" s="1" t="b">
        <f t="shared" si="3"/>
        <v>0</v>
      </c>
      <c r="P15" s="1" t="str">
        <f t="shared" si="4"/>
        <v>Atlantic Fiber Co|-20125.99</v>
      </c>
      <c r="Q15" s="1" t="str">
        <f t="shared" si="5"/>
        <v>Paid but No Bank Match</v>
      </c>
    </row>
    <row r="16">
      <c r="A16" s="1" t="s">
        <v>53</v>
      </c>
      <c r="B16" s="1" t="s">
        <v>36</v>
      </c>
      <c r="C16" s="3">
        <v>45874.0</v>
      </c>
      <c r="D16" s="3">
        <v>45919.0</v>
      </c>
      <c r="E16" s="1" t="s">
        <v>54</v>
      </c>
      <c r="F16" s="1" t="s">
        <v>20</v>
      </c>
      <c r="G16" s="1">
        <v>13796.05</v>
      </c>
      <c r="H16" s="1" t="s">
        <v>21</v>
      </c>
      <c r="I16" s="1">
        <v>965.72</v>
      </c>
      <c r="J16" s="1">
        <f t="shared" si="1"/>
        <v>14761.77</v>
      </c>
      <c r="K16" s="1" t="b">
        <v>1</v>
      </c>
      <c r="L16" s="3">
        <v>45893.0</v>
      </c>
      <c r="M16" s="1">
        <v>14761.77</v>
      </c>
      <c r="N16" s="1" t="b">
        <f t="shared" si="2"/>
        <v>0</v>
      </c>
      <c r="O16" s="1" t="b">
        <f t="shared" si="3"/>
        <v>0</v>
      </c>
      <c r="P16" s="1" t="str">
        <f t="shared" si="4"/>
        <v>Tampa Grid Services|-14761.77</v>
      </c>
      <c r="Q16" s="1" t="str">
        <f t="shared" si="5"/>
        <v>Paid but No Bank Match</v>
      </c>
    </row>
    <row r="17">
      <c r="A17" s="1" t="s">
        <v>55</v>
      </c>
      <c r="B17" s="1" t="s">
        <v>18</v>
      </c>
      <c r="C17" s="3">
        <v>45958.0</v>
      </c>
      <c r="D17" s="3">
        <v>46003.0</v>
      </c>
      <c r="E17" s="1" t="s">
        <v>19</v>
      </c>
      <c r="F17" s="1" t="s">
        <v>28</v>
      </c>
      <c r="G17" s="1">
        <v>24678.73</v>
      </c>
      <c r="H17" s="1" t="s">
        <v>34</v>
      </c>
      <c r="I17" s="1">
        <v>3701.8</v>
      </c>
      <c r="J17" s="1">
        <f t="shared" si="1"/>
        <v>28380.53</v>
      </c>
      <c r="K17" s="1" t="b">
        <v>1</v>
      </c>
      <c r="L17" s="3">
        <v>45970.0</v>
      </c>
      <c r="M17" s="1">
        <v>28380.53</v>
      </c>
      <c r="N17" s="1" t="b">
        <f t="shared" si="2"/>
        <v>0</v>
      </c>
      <c r="O17" s="1" t="b">
        <f t="shared" si="3"/>
        <v>0</v>
      </c>
      <c r="P17" s="1" t="str">
        <f t="shared" si="4"/>
        <v>Tri-County Services|-28380.53</v>
      </c>
      <c r="Q17" s="1" t="str">
        <f t="shared" si="5"/>
        <v>Paid but No Bank Match</v>
      </c>
    </row>
    <row r="18">
      <c r="A18" s="1" t="s">
        <v>56</v>
      </c>
      <c r="B18" s="1" t="s">
        <v>57</v>
      </c>
      <c r="C18" s="3">
        <v>45720.0</v>
      </c>
      <c r="D18" s="3">
        <v>45765.0</v>
      </c>
      <c r="E18" s="1" t="s">
        <v>37</v>
      </c>
      <c r="F18" s="1" t="s">
        <v>24</v>
      </c>
      <c r="G18" s="1">
        <v>17818.0</v>
      </c>
      <c r="H18" s="1" t="s">
        <v>21</v>
      </c>
      <c r="I18" s="1">
        <v>1247.26</v>
      </c>
      <c r="J18" s="1">
        <f t="shared" si="1"/>
        <v>19065.69</v>
      </c>
      <c r="K18" s="1" t="b">
        <v>1</v>
      </c>
      <c r="L18" s="3">
        <v>45757.0</v>
      </c>
      <c r="M18" s="1">
        <v>19065.26</v>
      </c>
      <c r="N18" s="1" t="b">
        <f t="shared" si="2"/>
        <v>1</v>
      </c>
      <c r="O18" s="1" t="b">
        <f t="shared" si="3"/>
        <v>0</v>
      </c>
      <c r="P18" s="1" t="str">
        <f t="shared" si="4"/>
        <v>Florida Line Crew LLC|-19065.69</v>
      </c>
      <c r="Q18" s="1" t="str">
        <f t="shared" si="5"/>
        <v>Paid but No Bank Match</v>
      </c>
    </row>
    <row r="19">
      <c r="A19" s="1" t="s">
        <v>58</v>
      </c>
      <c r="B19" s="1" t="s">
        <v>59</v>
      </c>
      <c r="C19" s="3">
        <v>45918.0</v>
      </c>
      <c r="D19" s="3">
        <v>45963.0</v>
      </c>
      <c r="E19" s="1" t="s">
        <v>50</v>
      </c>
      <c r="F19" s="1" t="s">
        <v>60</v>
      </c>
      <c r="G19" s="1">
        <v>16451.39</v>
      </c>
      <c r="H19" s="1" t="s">
        <v>25</v>
      </c>
      <c r="I19" s="1">
        <v>1974.16</v>
      </c>
      <c r="J19" s="1">
        <f t="shared" si="1"/>
        <v>18425.55</v>
      </c>
      <c r="K19" s="1" t="b">
        <v>0</v>
      </c>
      <c r="L19" s="4"/>
      <c r="M19" s="1">
        <v>18425.55</v>
      </c>
      <c r="N19" s="1" t="b">
        <f t="shared" si="2"/>
        <v>0</v>
      </c>
      <c r="O19" s="1" t="b">
        <f t="shared" si="3"/>
        <v>1</v>
      </c>
      <c r="P19" s="1" t="str">
        <f t="shared" si="4"/>
        <v>Skyline Engineering|-18425.55</v>
      </c>
      <c r="Q19" s="1" t="str">
        <f t="shared" si="5"/>
        <v>Unpaid</v>
      </c>
    </row>
    <row r="20">
      <c r="A20" s="1" t="s">
        <v>61</v>
      </c>
      <c r="B20" s="1" t="s">
        <v>62</v>
      </c>
      <c r="C20" s="3">
        <v>45858.0</v>
      </c>
      <c r="D20" s="3">
        <v>45903.0</v>
      </c>
      <c r="E20" s="1" t="s">
        <v>50</v>
      </c>
      <c r="F20" s="1" t="s">
        <v>20</v>
      </c>
      <c r="G20" s="1">
        <v>8607.0</v>
      </c>
      <c r="H20" s="1" t="s">
        <v>21</v>
      </c>
      <c r="I20" s="1">
        <v>602.49</v>
      </c>
      <c r="J20" s="1">
        <f t="shared" si="1"/>
        <v>9209.49</v>
      </c>
      <c r="K20" s="1" t="b">
        <v>1</v>
      </c>
      <c r="L20" s="3">
        <v>45885.0</v>
      </c>
      <c r="M20" s="1">
        <v>9209.49</v>
      </c>
      <c r="N20" s="1" t="b">
        <f t="shared" si="2"/>
        <v>0</v>
      </c>
      <c r="O20" s="1" t="b">
        <f t="shared" si="3"/>
        <v>0</v>
      </c>
      <c r="P20" s="1" t="str">
        <f t="shared" si="4"/>
        <v>Bay Area Rentals|-9209.49</v>
      </c>
      <c r="Q20" s="1" t="str">
        <f t="shared" si="5"/>
        <v>Paid but No Bank Match</v>
      </c>
    </row>
    <row r="21">
      <c r="A21" s="1" t="s">
        <v>63</v>
      </c>
      <c r="B21" s="1" t="s">
        <v>23</v>
      </c>
      <c r="C21" s="3">
        <v>45719.0</v>
      </c>
      <c r="D21" s="3">
        <v>45764.0</v>
      </c>
      <c r="E21" s="1" t="s">
        <v>31</v>
      </c>
      <c r="F21" s="1" t="s">
        <v>47</v>
      </c>
      <c r="G21" s="1">
        <v>18375.35</v>
      </c>
      <c r="H21" s="1" t="s">
        <v>25</v>
      </c>
      <c r="I21" s="1">
        <v>1102.52</v>
      </c>
      <c r="J21" s="1">
        <f t="shared" si="1"/>
        <v>19477.87</v>
      </c>
      <c r="K21" s="1" t="b">
        <v>1</v>
      </c>
      <c r="L21" s="3">
        <v>45758.0</v>
      </c>
      <c r="M21" s="1">
        <v>19477.87</v>
      </c>
      <c r="N21" s="1" t="b">
        <f t="shared" si="2"/>
        <v>0</v>
      </c>
      <c r="O21" s="1" t="b">
        <f t="shared" si="3"/>
        <v>0</v>
      </c>
      <c r="P21" s="1" t="str">
        <f t="shared" si="4"/>
        <v>Atlantic Fiber Co|-19477.87</v>
      </c>
      <c r="Q21" s="1" t="str">
        <f t="shared" si="5"/>
        <v>Paid but No Bank Match</v>
      </c>
    </row>
    <row r="22">
      <c r="A22" s="1" t="s">
        <v>64</v>
      </c>
      <c r="B22" s="1" t="s">
        <v>57</v>
      </c>
      <c r="C22" s="3">
        <v>45884.0</v>
      </c>
      <c r="D22" s="3">
        <v>45914.0</v>
      </c>
      <c r="E22" s="1" t="s">
        <v>50</v>
      </c>
      <c r="F22" s="1" t="s">
        <v>47</v>
      </c>
      <c r="G22" s="1">
        <v>17974.5</v>
      </c>
      <c r="H22" s="1" t="s">
        <v>34</v>
      </c>
      <c r="I22" s="1">
        <v>1348.09</v>
      </c>
      <c r="J22" s="1">
        <f t="shared" si="1"/>
        <v>19323.88</v>
      </c>
      <c r="K22" s="1" t="b">
        <v>1</v>
      </c>
      <c r="L22" s="3">
        <v>45902.0</v>
      </c>
      <c r="M22" s="1">
        <v>19322.59</v>
      </c>
      <c r="N22" s="1" t="b">
        <f t="shared" si="2"/>
        <v>1</v>
      </c>
      <c r="O22" s="1" t="b">
        <f t="shared" si="3"/>
        <v>0</v>
      </c>
      <c r="P22" s="1" t="str">
        <f t="shared" si="4"/>
        <v>Florida Line Crew LLC|-19323.88</v>
      </c>
      <c r="Q22" s="1" t="str">
        <f t="shared" si="5"/>
        <v>Paid but No Bank Match</v>
      </c>
    </row>
    <row r="23">
      <c r="A23" s="1" t="s">
        <v>65</v>
      </c>
      <c r="B23" s="1" t="s">
        <v>27</v>
      </c>
      <c r="C23" s="3">
        <v>46016.0</v>
      </c>
      <c r="D23" s="3">
        <v>46046.0</v>
      </c>
      <c r="E23" s="1" t="s">
        <v>50</v>
      </c>
      <c r="F23" s="1" t="s">
        <v>28</v>
      </c>
      <c r="G23" s="1">
        <v>17911.24</v>
      </c>
      <c r="H23" s="1" t="s">
        <v>25</v>
      </c>
      <c r="I23" s="1">
        <v>1074.67</v>
      </c>
      <c r="J23" s="1">
        <f t="shared" si="1"/>
        <v>18985.91</v>
      </c>
      <c r="K23" s="1" t="b">
        <v>0</v>
      </c>
      <c r="L23" s="4"/>
      <c r="M23" s="1">
        <v>18985.91</v>
      </c>
      <c r="N23" s="1" t="b">
        <f t="shared" si="2"/>
        <v>0</v>
      </c>
      <c r="O23" s="1" t="b">
        <f t="shared" si="3"/>
        <v>1</v>
      </c>
      <c r="P23" s="1" t="str">
        <f t="shared" si="4"/>
        <v>Sunline Electrical|-18985.91</v>
      </c>
      <c r="Q23" s="1" t="str">
        <f t="shared" si="5"/>
        <v>Unpaid</v>
      </c>
    </row>
    <row r="24">
      <c r="A24" s="1" t="s">
        <v>66</v>
      </c>
      <c r="B24" s="1" t="s">
        <v>59</v>
      </c>
      <c r="C24" s="3">
        <v>45720.0</v>
      </c>
      <c r="D24" s="3">
        <v>45750.0</v>
      </c>
      <c r="E24" s="1" t="s">
        <v>54</v>
      </c>
      <c r="F24" s="1" t="s">
        <v>47</v>
      </c>
      <c r="G24" s="1">
        <v>12146.57</v>
      </c>
      <c r="H24" s="1" t="s">
        <v>25</v>
      </c>
      <c r="I24" s="1">
        <v>728.79</v>
      </c>
      <c r="J24" s="1">
        <f t="shared" si="1"/>
        <v>12875.36</v>
      </c>
      <c r="K24" s="1" t="b">
        <v>1</v>
      </c>
      <c r="L24" s="3">
        <v>45728.0</v>
      </c>
      <c r="M24" s="1">
        <v>12875.36</v>
      </c>
      <c r="N24" s="1" t="b">
        <f t="shared" si="2"/>
        <v>0</v>
      </c>
      <c r="O24" s="1" t="b">
        <f t="shared" si="3"/>
        <v>0</v>
      </c>
      <c r="P24" s="1" t="str">
        <f t="shared" si="4"/>
        <v>Skyline Engineering|-12875.36</v>
      </c>
      <c r="Q24" s="1" t="str">
        <f t="shared" si="5"/>
        <v>Paid but No Bank Match</v>
      </c>
    </row>
    <row r="25">
      <c r="A25" s="1" t="s">
        <v>67</v>
      </c>
      <c r="B25" s="1" t="s">
        <v>30</v>
      </c>
      <c r="C25" s="3">
        <v>45879.0</v>
      </c>
      <c r="D25" s="3">
        <v>45924.0</v>
      </c>
      <c r="E25" s="1" t="s">
        <v>31</v>
      </c>
      <c r="F25" s="1" t="s">
        <v>24</v>
      </c>
      <c r="G25" s="1">
        <v>15308.23</v>
      </c>
      <c r="H25" s="1" t="s">
        <v>34</v>
      </c>
      <c r="I25" s="1">
        <v>1148.12</v>
      </c>
      <c r="J25" s="1">
        <f t="shared" si="1"/>
        <v>16456.35</v>
      </c>
      <c r="K25" s="1" t="b">
        <v>1</v>
      </c>
      <c r="L25" s="3">
        <v>45912.0</v>
      </c>
      <c r="M25" s="1">
        <v>16456.35</v>
      </c>
      <c r="N25" s="1" t="b">
        <f t="shared" si="2"/>
        <v>0</v>
      </c>
      <c r="O25" s="1" t="b">
        <f t="shared" si="3"/>
        <v>0</v>
      </c>
      <c r="P25" s="1" t="str">
        <f t="shared" si="4"/>
        <v>Tidal Contractors|-16456.35</v>
      </c>
      <c r="Q25" s="1" t="str">
        <f t="shared" si="5"/>
        <v>Paid but No Bank Match</v>
      </c>
    </row>
    <row r="26">
      <c r="A26" s="1" t="s">
        <v>68</v>
      </c>
      <c r="B26" s="1" t="s">
        <v>18</v>
      </c>
      <c r="C26" s="3">
        <v>45693.0</v>
      </c>
      <c r="D26" s="3">
        <v>45738.0</v>
      </c>
      <c r="E26" s="1" t="s">
        <v>37</v>
      </c>
      <c r="F26" s="1" t="s">
        <v>32</v>
      </c>
      <c r="G26" s="1">
        <v>15172.2</v>
      </c>
      <c r="H26" s="1" t="s">
        <v>45</v>
      </c>
      <c r="I26" s="1">
        <v>986.19</v>
      </c>
      <c r="J26" s="1">
        <f t="shared" si="1"/>
        <v>16158.39</v>
      </c>
      <c r="K26" s="1" t="b">
        <v>1</v>
      </c>
      <c r="L26" s="3">
        <v>45725.0</v>
      </c>
      <c r="M26" s="1">
        <v>16158.39</v>
      </c>
      <c r="N26" s="1" t="b">
        <f t="shared" si="2"/>
        <v>0</v>
      </c>
      <c r="O26" s="1" t="b">
        <f t="shared" si="3"/>
        <v>0</v>
      </c>
      <c r="P26" s="1" t="str">
        <f t="shared" si="4"/>
        <v>Tri-County Services|-16158.39</v>
      </c>
      <c r="Q26" s="1" t="str">
        <f t="shared" si="5"/>
        <v>Paid but No Bank Match</v>
      </c>
    </row>
    <row r="27">
      <c r="A27" s="1" t="s">
        <v>69</v>
      </c>
      <c r="B27" s="1" t="s">
        <v>62</v>
      </c>
      <c r="C27" s="3">
        <v>45723.0</v>
      </c>
      <c r="D27" s="3">
        <v>45753.0</v>
      </c>
      <c r="E27" s="1" t="s">
        <v>54</v>
      </c>
      <c r="F27" s="1" t="s">
        <v>24</v>
      </c>
      <c r="G27" s="1">
        <v>7743.03</v>
      </c>
      <c r="H27" s="1" t="s">
        <v>45</v>
      </c>
      <c r="I27" s="1">
        <v>503.3</v>
      </c>
      <c r="J27" s="1">
        <f t="shared" si="1"/>
        <v>8246.33</v>
      </c>
      <c r="K27" s="1" t="b">
        <v>1</v>
      </c>
      <c r="L27" s="3">
        <v>45755.0</v>
      </c>
      <c r="M27" s="1">
        <v>8246.33</v>
      </c>
      <c r="N27" s="1" t="b">
        <f t="shared" si="2"/>
        <v>0</v>
      </c>
      <c r="O27" s="1" t="b">
        <f t="shared" si="3"/>
        <v>0</v>
      </c>
      <c r="P27" s="1" t="str">
        <f t="shared" si="4"/>
        <v>Bay Area Rentals|-8246.33</v>
      </c>
      <c r="Q27" s="1" t="str">
        <f t="shared" si="5"/>
        <v>Paid but No Bank Match</v>
      </c>
    </row>
    <row r="28">
      <c r="A28" s="1" t="s">
        <v>70</v>
      </c>
      <c r="B28" s="1" t="s">
        <v>30</v>
      </c>
      <c r="C28" s="3">
        <v>45685.0</v>
      </c>
      <c r="D28" s="3">
        <v>45715.0</v>
      </c>
      <c r="E28" s="1" t="s">
        <v>31</v>
      </c>
      <c r="F28" s="1" t="s">
        <v>24</v>
      </c>
      <c r="G28" s="1">
        <v>10704.49</v>
      </c>
      <c r="H28" s="1" t="s">
        <v>45</v>
      </c>
      <c r="I28" s="1">
        <v>695.79</v>
      </c>
      <c r="J28" s="1">
        <f t="shared" si="1"/>
        <v>11400.28</v>
      </c>
      <c r="K28" s="1" t="b">
        <v>0</v>
      </c>
      <c r="L28" s="4"/>
      <c r="M28" s="1">
        <v>11400.28</v>
      </c>
      <c r="N28" s="1" t="b">
        <f t="shared" si="2"/>
        <v>0</v>
      </c>
      <c r="O28" s="1" t="b">
        <f t="shared" si="3"/>
        <v>1</v>
      </c>
      <c r="P28" s="1" t="str">
        <f t="shared" si="4"/>
        <v>Tidal Contractors|-11400.28</v>
      </c>
      <c r="Q28" s="1" t="str">
        <f t="shared" si="5"/>
        <v>Unpaid</v>
      </c>
    </row>
    <row r="29">
      <c r="A29" s="1" t="s">
        <v>71</v>
      </c>
      <c r="B29" s="1" t="s">
        <v>18</v>
      </c>
      <c r="C29" s="3">
        <v>45785.0</v>
      </c>
      <c r="D29" s="3">
        <v>45815.0</v>
      </c>
      <c r="E29" s="1" t="s">
        <v>50</v>
      </c>
      <c r="F29" s="1" t="s">
        <v>20</v>
      </c>
      <c r="G29" s="1">
        <v>22454.24</v>
      </c>
      <c r="H29" s="1" t="s">
        <v>21</v>
      </c>
      <c r="I29" s="1">
        <v>1571.8</v>
      </c>
      <c r="J29" s="1">
        <f t="shared" si="1"/>
        <v>24027.04</v>
      </c>
      <c r="K29" s="1" t="b">
        <v>1</v>
      </c>
      <c r="L29" s="3">
        <v>45790.0</v>
      </c>
      <c r="M29" s="1">
        <v>24026.04</v>
      </c>
      <c r="N29" s="1" t="b">
        <f t="shared" si="2"/>
        <v>1</v>
      </c>
      <c r="O29" s="1" t="b">
        <f t="shared" si="3"/>
        <v>0</v>
      </c>
      <c r="P29" s="1" t="str">
        <f t="shared" si="4"/>
        <v>Tri-County Services|-24027.04</v>
      </c>
      <c r="Q29" s="1" t="str">
        <f t="shared" si="5"/>
        <v>Paid but No Bank Match</v>
      </c>
    </row>
    <row r="30">
      <c r="A30" s="1" t="s">
        <v>72</v>
      </c>
      <c r="B30" s="1" t="s">
        <v>30</v>
      </c>
      <c r="C30" s="3">
        <v>45940.0</v>
      </c>
      <c r="D30" s="3">
        <v>45970.0</v>
      </c>
      <c r="E30" s="1" t="s">
        <v>31</v>
      </c>
      <c r="F30" s="1" t="s">
        <v>20</v>
      </c>
      <c r="G30" s="1">
        <v>20541.36</v>
      </c>
      <c r="H30" s="1" t="s">
        <v>25</v>
      </c>
      <c r="I30" s="1">
        <v>1232.48</v>
      </c>
      <c r="J30" s="1">
        <f t="shared" si="1"/>
        <v>21773.17</v>
      </c>
      <c r="K30" s="1" t="b">
        <v>0</v>
      </c>
      <c r="L30" s="4"/>
      <c r="M30" s="1">
        <v>21773.84</v>
      </c>
      <c r="N30" s="1" t="b">
        <f t="shared" si="2"/>
        <v>1</v>
      </c>
      <c r="O30" s="1" t="b">
        <f t="shared" si="3"/>
        <v>1</v>
      </c>
      <c r="P30" s="1" t="str">
        <f t="shared" si="4"/>
        <v>Tidal Contractors|-21773.17</v>
      </c>
      <c r="Q30" s="1" t="str">
        <f t="shared" si="5"/>
        <v>Unpaid</v>
      </c>
    </row>
    <row r="31">
      <c r="A31" s="1" t="s">
        <v>73</v>
      </c>
      <c r="B31" s="1" t="s">
        <v>27</v>
      </c>
      <c r="C31" s="3">
        <v>46016.0</v>
      </c>
      <c r="D31" s="3">
        <v>46046.0</v>
      </c>
      <c r="E31" s="1" t="s">
        <v>37</v>
      </c>
      <c r="F31" s="1" t="s">
        <v>20</v>
      </c>
      <c r="G31" s="1">
        <v>13585.19</v>
      </c>
      <c r="H31" s="1" t="s">
        <v>21</v>
      </c>
      <c r="I31" s="1">
        <v>950.96</v>
      </c>
      <c r="J31" s="1">
        <f t="shared" si="1"/>
        <v>14535.45</v>
      </c>
      <c r="K31" s="1" t="b">
        <v>0</v>
      </c>
      <c r="L31" s="4"/>
      <c r="M31" s="1">
        <v>14536.15</v>
      </c>
      <c r="N31" s="1" t="b">
        <f t="shared" si="2"/>
        <v>1</v>
      </c>
      <c r="O31" s="1" t="b">
        <f t="shared" si="3"/>
        <v>1</v>
      </c>
      <c r="P31" s="1" t="str">
        <f t="shared" si="4"/>
        <v>Sunline Electrical|-14535.45</v>
      </c>
      <c r="Q31" s="1" t="str">
        <f t="shared" si="5"/>
        <v>Unpaid</v>
      </c>
    </row>
    <row r="32">
      <c r="A32" s="1" t="s">
        <v>74</v>
      </c>
      <c r="B32" s="1" t="s">
        <v>27</v>
      </c>
      <c r="C32" s="3">
        <v>45891.0</v>
      </c>
      <c r="D32" s="3">
        <v>45921.0</v>
      </c>
      <c r="E32" s="1" t="s">
        <v>31</v>
      </c>
      <c r="F32" s="1" t="s">
        <v>24</v>
      </c>
      <c r="G32" s="1">
        <v>23601.29</v>
      </c>
      <c r="H32" s="1" t="s">
        <v>34</v>
      </c>
      <c r="I32" s="1">
        <v>1770.1</v>
      </c>
      <c r="J32" s="1">
        <f t="shared" si="1"/>
        <v>25371.39</v>
      </c>
      <c r="K32" s="1" t="b">
        <v>1</v>
      </c>
      <c r="L32" s="3">
        <v>45947.0</v>
      </c>
      <c r="M32" s="1">
        <v>25371.39</v>
      </c>
      <c r="N32" s="1" t="b">
        <f t="shared" si="2"/>
        <v>0</v>
      </c>
      <c r="O32" s="1" t="b">
        <f t="shared" si="3"/>
        <v>0</v>
      </c>
      <c r="P32" s="1" t="str">
        <f t="shared" si="4"/>
        <v>Sunline Electrical|-25371.39</v>
      </c>
      <c r="Q32" s="1" t="str">
        <f t="shared" si="5"/>
        <v>Paid but No Bank Match</v>
      </c>
    </row>
    <row r="33">
      <c r="A33" s="1" t="s">
        <v>75</v>
      </c>
      <c r="B33" s="1" t="s">
        <v>42</v>
      </c>
      <c r="C33" s="3">
        <v>45770.0</v>
      </c>
      <c r="D33" s="3">
        <v>45815.0</v>
      </c>
      <c r="E33" s="1" t="s">
        <v>19</v>
      </c>
      <c r="F33" s="1" t="s">
        <v>28</v>
      </c>
      <c r="G33" s="1">
        <v>6720.93</v>
      </c>
      <c r="H33" s="1" t="s">
        <v>21</v>
      </c>
      <c r="I33" s="1">
        <v>470.47</v>
      </c>
      <c r="J33" s="1">
        <f t="shared" si="1"/>
        <v>7191.4</v>
      </c>
      <c r="K33" s="1" t="b">
        <v>1</v>
      </c>
      <c r="L33" s="3">
        <v>45813.0</v>
      </c>
      <c r="M33" s="1">
        <v>7191.4</v>
      </c>
      <c r="N33" s="1" t="b">
        <f t="shared" si="2"/>
        <v>0</v>
      </c>
      <c r="O33" s="1" t="b">
        <f t="shared" si="3"/>
        <v>0</v>
      </c>
      <c r="P33" s="1" t="str">
        <f t="shared" si="4"/>
        <v>BrightPower Partners|-7191.4</v>
      </c>
      <c r="Q33" s="1" t="str">
        <f t="shared" si="5"/>
        <v>Paid but No Bank Match</v>
      </c>
    </row>
    <row r="34">
      <c r="A34" s="1" t="s">
        <v>76</v>
      </c>
      <c r="B34" s="1" t="s">
        <v>18</v>
      </c>
      <c r="C34" s="3">
        <v>45770.0</v>
      </c>
      <c r="D34" s="3">
        <v>45815.0</v>
      </c>
      <c r="E34" s="1" t="s">
        <v>31</v>
      </c>
      <c r="F34" s="1" t="s">
        <v>28</v>
      </c>
      <c r="G34" s="1">
        <v>24944.64</v>
      </c>
      <c r="H34" s="1" t="s">
        <v>45</v>
      </c>
      <c r="I34" s="1">
        <v>1621.4</v>
      </c>
      <c r="J34" s="1">
        <f t="shared" si="1"/>
        <v>26565.24</v>
      </c>
      <c r="K34" s="1" t="b">
        <v>1</v>
      </c>
      <c r="L34" s="3">
        <v>45776.0</v>
      </c>
      <c r="M34" s="1">
        <v>26566.04</v>
      </c>
      <c r="N34" s="1" t="b">
        <f t="shared" si="2"/>
        <v>1</v>
      </c>
      <c r="O34" s="1" t="b">
        <f t="shared" si="3"/>
        <v>0</v>
      </c>
      <c r="P34" s="1" t="str">
        <f t="shared" si="4"/>
        <v>Tri-County Services|-26565.24</v>
      </c>
      <c r="Q34" s="1" t="str">
        <f t="shared" si="5"/>
        <v>Paid but No Bank Match</v>
      </c>
    </row>
    <row r="35">
      <c r="A35" s="1" t="s">
        <v>77</v>
      </c>
      <c r="B35" s="1" t="s">
        <v>30</v>
      </c>
      <c r="C35" s="3">
        <v>45787.0</v>
      </c>
      <c r="D35" s="3">
        <v>45832.0</v>
      </c>
      <c r="E35" s="1" t="s">
        <v>50</v>
      </c>
      <c r="F35" s="1" t="s">
        <v>28</v>
      </c>
      <c r="G35" s="1">
        <v>1309.74</v>
      </c>
      <c r="H35" s="1" t="s">
        <v>45</v>
      </c>
      <c r="I35" s="1">
        <v>85.13</v>
      </c>
      <c r="J35" s="1">
        <f t="shared" si="1"/>
        <v>1394.87</v>
      </c>
      <c r="K35" s="1" t="b">
        <v>1</v>
      </c>
      <c r="L35" s="3">
        <v>45792.0</v>
      </c>
      <c r="M35" s="1">
        <v>1394.87</v>
      </c>
      <c r="N35" s="1" t="b">
        <f t="shared" si="2"/>
        <v>0</v>
      </c>
      <c r="O35" s="1" t="b">
        <f t="shared" si="3"/>
        <v>0</v>
      </c>
      <c r="P35" s="1" t="str">
        <f t="shared" si="4"/>
        <v>Tidal Contractors|-1394.87</v>
      </c>
      <c r="Q35" s="1" t="str">
        <f t="shared" si="5"/>
        <v>Paid but No Bank Match</v>
      </c>
    </row>
    <row r="36">
      <c r="A36" s="1" t="s">
        <v>78</v>
      </c>
      <c r="B36" s="1" t="s">
        <v>62</v>
      </c>
      <c r="C36" s="3">
        <v>45783.0</v>
      </c>
      <c r="D36" s="3">
        <v>45828.0</v>
      </c>
      <c r="E36" s="1" t="s">
        <v>54</v>
      </c>
      <c r="F36" s="1" t="s">
        <v>47</v>
      </c>
      <c r="G36" s="1">
        <v>12491.59</v>
      </c>
      <c r="H36" s="1" t="s">
        <v>34</v>
      </c>
      <c r="I36" s="1">
        <v>936.87</v>
      </c>
      <c r="J36" s="1">
        <f t="shared" si="1"/>
        <v>13428.46</v>
      </c>
      <c r="K36" s="1" t="b">
        <v>0</v>
      </c>
      <c r="L36" s="4"/>
      <c r="M36" s="1">
        <v>13428.46</v>
      </c>
      <c r="N36" s="1" t="b">
        <f t="shared" si="2"/>
        <v>0</v>
      </c>
      <c r="O36" s="1" t="b">
        <f t="shared" si="3"/>
        <v>1</v>
      </c>
      <c r="P36" s="1" t="str">
        <f t="shared" si="4"/>
        <v>Bay Area Rentals|-13428.46</v>
      </c>
      <c r="Q36" s="1" t="str">
        <f t="shared" si="5"/>
        <v>Unpaid</v>
      </c>
    </row>
    <row r="37">
      <c r="A37" s="1" t="s">
        <v>79</v>
      </c>
      <c r="B37" s="1" t="s">
        <v>23</v>
      </c>
      <c r="C37" s="3">
        <v>45904.0</v>
      </c>
      <c r="D37" s="3">
        <v>45934.0</v>
      </c>
      <c r="E37" s="1" t="s">
        <v>19</v>
      </c>
      <c r="F37" s="1" t="s">
        <v>20</v>
      </c>
      <c r="G37" s="1">
        <v>19159.68</v>
      </c>
      <c r="H37" s="1" t="s">
        <v>34</v>
      </c>
      <c r="I37" s="1">
        <v>1436.98</v>
      </c>
      <c r="J37" s="1">
        <f t="shared" si="1"/>
        <v>20596.66</v>
      </c>
      <c r="K37" s="1" t="b">
        <v>1</v>
      </c>
      <c r="L37" s="3">
        <v>45946.0</v>
      </c>
      <c r="M37" s="1">
        <v>20596.66</v>
      </c>
      <c r="N37" s="1" t="b">
        <f t="shared" si="2"/>
        <v>0</v>
      </c>
      <c r="O37" s="1" t="b">
        <f t="shared" si="3"/>
        <v>0</v>
      </c>
      <c r="P37" s="1" t="str">
        <f t="shared" si="4"/>
        <v>Atlantic Fiber Co|-20596.66</v>
      </c>
      <c r="Q37" s="1" t="str">
        <f t="shared" si="5"/>
        <v>Paid but No Bank Match</v>
      </c>
    </row>
    <row r="38">
      <c r="A38" s="1" t="s">
        <v>80</v>
      </c>
      <c r="B38" s="1" t="s">
        <v>59</v>
      </c>
      <c r="C38" s="3">
        <v>45937.0</v>
      </c>
      <c r="D38" s="3">
        <v>45967.0</v>
      </c>
      <c r="E38" s="1" t="s">
        <v>31</v>
      </c>
      <c r="F38" s="1" t="s">
        <v>28</v>
      </c>
      <c r="G38" s="1">
        <v>24593.87</v>
      </c>
      <c r="H38" s="1" t="s">
        <v>34</v>
      </c>
      <c r="I38" s="1">
        <v>1844.54</v>
      </c>
      <c r="J38" s="1">
        <f t="shared" si="1"/>
        <v>26438.41</v>
      </c>
      <c r="K38" s="1" t="b">
        <v>1</v>
      </c>
      <c r="L38" s="3">
        <v>45957.0</v>
      </c>
      <c r="M38" s="1">
        <v>26438.41</v>
      </c>
      <c r="N38" s="1" t="b">
        <f t="shared" si="2"/>
        <v>0</v>
      </c>
      <c r="O38" s="1" t="b">
        <f t="shared" si="3"/>
        <v>0</v>
      </c>
      <c r="P38" s="1" t="str">
        <f t="shared" si="4"/>
        <v>Skyline Engineering|-26438.41</v>
      </c>
      <c r="Q38" s="1" t="str">
        <f t="shared" si="5"/>
        <v>Paid but No Bank Match</v>
      </c>
    </row>
    <row r="39">
      <c r="A39" s="1" t="s">
        <v>81</v>
      </c>
      <c r="B39" s="1" t="s">
        <v>40</v>
      </c>
      <c r="C39" s="3">
        <v>45754.0</v>
      </c>
      <c r="D39" s="3">
        <v>45784.0</v>
      </c>
      <c r="E39" s="1" t="s">
        <v>50</v>
      </c>
      <c r="F39" s="1" t="s">
        <v>24</v>
      </c>
      <c r="G39" s="1">
        <v>12950.87</v>
      </c>
      <c r="H39" s="1" t="s">
        <v>34</v>
      </c>
      <c r="I39" s="1">
        <v>971.32</v>
      </c>
      <c r="J39" s="1">
        <f t="shared" si="1"/>
        <v>13922.19</v>
      </c>
      <c r="K39" s="1" t="b">
        <v>1</v>
      </c>
      <c r="L39" s="3">
        <v>45761.0</v>
      </c>
      <c r="M39" s="1">
        <v>13922.19</v>
      </c>
      <c r="N39" s="1" t="b">
        <f t="shared" si="2"/>
        <v>0</v>
      </c>
      <c r="O39" s="1" t="b">
        <f t="shared" si="3"/>
        <v>0</v>
      </c>
      <c r="P39" s="1" t="str">
        <f t="shared" si="4"/>
        <v>Gulf Coast Telecom|-13922.19</v>
      </c>
      <c r="Q39" s="1" t="str">
        <f t="shared" si="5"/>
        <v>Paid but No Bank Match</v>
      </c>
    </row>
    <row r="40">
      <c r="A40" s="1" t="s">
        <v>82</v>
      </c>
      <c r="B40" s="1" t="s">
        <v>57</v>
      </c>
      <c r="C40" s="3">
        <v>45805.0</v>
      </c>
      <c r="D40" s="3">
        <v>45835.0</v>
      </c>
      <c r="E40" s="1" t="s">
        <v>31</v>
      </c>
      <c r="F40" s="1" t="s">
        <v>28</v>
      </c>
      <c r="G40" s="1">
        <v>5895.91</v>
      </c>
      <c r="H40" s="1" t="s">
        <v>45</v>
      </c>
      <c r="I40" s="1">
        <v>383.23</v>
      </c>
      <c r="J40" s="1">
        <f t="shared" si="1"/>
        <v>6279.14</v>
      </c>
      <c r="K40" s="1" t="b">
        <v>1</v>
      </c>
      <c r="L40" s="3">
        <v>45828.0</v>
      </c>
      <c r="M40" s="1">
        <v>6279.14</v>
      </c>
      <c r="N40" s="1" t="b">
        <f t="shared" si="2"/>
        <v>0</v>
      </c>
      <c r="O40" s="1" t="b">
        <f t="shared" si="3"/>
        <v>0</v>
      </c>
      <c r="P40" s="1" t="str">
        <f t="shared" si="4"/>
        <v>Florida Line Crew LLC|-6279.14</v>
      </c>
      <c r="Q40" s="1" t="str">
        <f t="shared" si="5"/>
        <v>Paid but No Bank Match</v>
      </c>
    </row>
    <row r="41">
      <c r="A41" s="1" t="s">
        <v>83</v>
      </c>
      <c r="B41" s="1" t="s">
        <v>18</v>
      </c>
      <c r="C41" s="3">
        <v>45805.0</v>
      </c>
      <c r="D41" s="3">
        <v>45850.0</v>
      </c>
      <c r="E41" s="1" t="s">
        <v>50</v>
      </c>
      <c r="F41" s="1" t="s">
        <v>28</v>
      </c>
      <c r="G41" s="1">
        <v>4771.98</v>
      </c>
      <c r="H41" s="1" t="s">
        <v>25</v>
      </c>
      <c r="I41" s="1">
        <v>286.32</v>
      </c>
      <c r="J41" s="1">
        <f t="shared" si="1"/>
        <v>5058.3</v>
      </c>
      <c r="K41" s="1" t="b">
        <v>1</v>
      </c>
      <c r="L41" s="3">
        <v>45848.0</v>
      </c>
      <c r="M41" s="1">
        <v>5058.3</v>
      </c>
      <c r="N41" s="1" t="b">
        <f t="shared" si="2"/>
        <v>0</v>
      </c>
      <c r="O41" s="1" t="b">
        <f t="shared" si="3"/>
        <v>0</v>
      </c>
      <c r="P41" s="1" t="str">
        <f t="shared" si="4"/>
        <v>Tri-County Services|-5058.3</v>
      </c>
      <c r="Q41" s="1" t="str">
        <f t="shared" si="5"/>
        <v>Paid but No Bank Match</v>
      </c>
    </row>
    <row r="42">
      <c r="A42" s="1" t="s">
        <v>84</v>
      </c>
      <c r="B42" s="1" t="s">
        <v>23</v>
      </c>
      <c r="C42" s="3">
        <v>45995.0</v>
      </c>
      <c r="D42" s="3">
        <v>46040.0</v>
      </c>
      <c r="E42" s="1" t="s">
        <v>54</v>
      </c>
      <c r="F42" s="1" t="s">
        <v>28</v>
      </c>
      <c r="G42" s="1">
        <v>17054.41</v>
      </c>
      <c r="H42" s="1" t="s">
        <v>34</v>
      </c>
      <c r="I42" s="1">
        <v>1279.08</v>
      </c>
      <c r="J42" s="1">
        <f t="shared" si="1"/>
        <v>18332.07</v>
      </c>
      <c r="K42" s="1" t="b">
        <v>0</v>
      </c>
      <c r="L42" s="4"/>
      <c r="M42" s="1">
        <v>18333.49</v>
      </c>
      <c r="N42" s="1" t="b">
        <f t="shared" si="2"/>
        <v>1</v>
      </c>
      <c r="O42" s="1" t="b">
        <f t="shared" si="3"/>
        <v>1</v>
      </c>
      <c r="P42" s="1" t="str">
        <f t="shared" si="4"/>
        <v>Atlantic Fiber Co|-18332.07</v>
      </c>
      <c r="Q42" s="1" t="str">
        <f t="shared" si="5"/>
        <v>Unpaid</v>
      </c>
    </row>
    <row r="43">
      <c r="A43" s="1" t="s">
        <v>85</v>
      </c>
      <c r="B43" s="1" t="s">
        <v>40</v>
      </c>
      <c r="C43" s="3">
        <v>45808.0</v>
      </c>
      <c r="D43" s="3">
        <v>45853.0</v>
      </c>
      <c r="E43" s="1" t="s">
        <v>37</v>
      </c>
      <c r="F43" s="1" t="s">
        <v>47</v>
      </c>
      <c r="G43" s="1">
        <v>17546.72</v>
      </c>
      <c r="H43" s="1" t="s">
        <v>25</v>
      </c>
      <c r="I43" s="1">
        <v>1052.8</v>
      </c>
      <c r="J43" s="1">
        <f t="shared" si="1"/>
        <v>18599.81</v>
      </c>
      <c r="K43" s="1" t="b">
        <v>1</v>
      </c>
      <c r="L43" s="3">
        <v>45828.0</v>
      </c>
      <c r="M43" s="1">
        <v>18599.52</v>
      </c>
      <c r="N43" s="1" t="b">
        <f t="shared" si="2"/>
        <v>1</v>
      </c>
      <c r="O43" s="1" t="b">
        <f t="shared" si="3"/>
        <v>0</v>
      </c>
      <c r="P43" s="1" t="str">
        <f t="shared" si="4"/>
        <v>Gulf Coast Telecom|-18599.81</v>
      </c>
      <c r="Q43" s="1" t="str">
        <f t="shared" si="5"/>
        <v>Paid but No Bank Match</v>
      </c>
    </row>
    <row r="44">
      <c r="A44" s="1" t="s">
        <v>86</v>
      </c>
      <c r="B44" s="1" t="s">
        <v>49</v>
      </c>
      <c r="C44" s="3">
        <v>46003.0</v>
      </c>
      <c r="D44" s="3">
        <v>46033.0</v>
      </c>
      <c r="E44" s="1" t="s">
        <v>19</v>
      </c>
      <c r="F44" s="1" t="s">
        <v>32</v>
      </c>
      <c r="G44" s="1">
        <v>13157.58</v>
      </c>
      <c r="H44" s="1" t="s">
        <v>25</v>
      </c>
      <c r="I44" s="1">
        <v>789.45</v>
      </c>
      <c r="J44" s="1">
        <f t="shared" si="1"/>
        <v>13947.03</v>
      </c>
      <c r="K44" s="1" t="b">
        <v>1</v>
      </c>
      <c r="L44" s="3">
        <v>46008.0</v>
      </c>
      <c r="M44" s="1">
        <v>13947.03</v>
      </c>
      <c r="N44" s="1" t="b">
        <f t="shared" si="2"/>
        <v>0</v>
      </c>
      <c r="O44" s="1" t="b">
        <f t="shared" si="3"/>
        <v>0</v>
      </c>
      <c r="P44" s="1" t="str">
        <f t="shared" si="4"/>
        <v>Sunshine Equipment|-13947.03</v>
      </c>
      <c r="Q44" s="1" t="str">
        <f t="shared" si="5"/>
        <v>Paid but No Bank Match</v>
      </c>
    </row>
    <row r="45">
      <c r="A45" s="1" t="s">
        <v>87</v>
      </c>
      <c r="B45" s="1" t="s">
        <v>42</v>
      </c>
      <c r="C45" s="3">
        <v>45961.0</v>
      </c>
      <c r="D45" s="3">
        <v>46006.0</v>
      </c>
      <c r="E45" s="1" t="s">
        <v>19</v>
      </c>
      <c r="F45" s="1" t="s">
        <v>32</v>
      </c>
      <c r="G45" s="1">
        <v>14178.19</v>
      </c>
      <c r="H45" s="1" t="s">
        <v>21</v>
      </c>
      <c r="I45" s="1">
        <v>992.47</v>
      </c>
      <c r="J45" s="1">
        <f t="shared" si="1"/>
        <v>15170.66</v>
      </c>
      <c r="K45" s="1" t="b">
        <v>0</v>
      </c>
      <c r="L45" s="4"/>
      <c r="M45" s="1">
        <v>15170.66</v>
      </c>
      <c r="N45" s="1" t="b">
        <f t="shared" si="2"/>
        <v>0</v>
      </c>
      <c r="O45" s="1" t="b">
        <f t="shared" si="3"/>
        <v>1</v>
      </c>
      <c r="P45" s="1" t="str">
        <f t="shared" si="4"/>
        <v>BrightPower Partners|-15170.66</v>
      </c>
      <c r="Q45" s="1" t="str">
        <f t="shared" si="5"/>
        <v>Unpaid</v>
      </c>
    </row>
    <row r="46">
      <c r="A46" s="1" t="s">
        <v>88</v>
      </c>
      <c r="B46" s="1" t="s">
        <v>23</v>
      </c>
      <c r="C46" s="3">
        <v>45666.0</v>
      </c>
      <c r="D46" s="3">
        <v>45711.0</v>
      </c>
      <c r="E46" s="1" t="s">
        <v>50</v>
      </c>
      <c r="F46" s="1" t="s">
        <v>47</v>
      </c>
      <c r="G46" s="1">
        <v>17658.77</v>
      </c>
      <c r="H46" s="1" t="s">
        <v>21</v>
      </c>
      <c r="I46" s="1">
        <v>1236.11</v>
      </c>
      <c r="J46" s="1">
        <f t="shared" si="1"/>
        <v>18895.86</v>
      </c>
      <c r="K46" s="1" t="b">
        <v>1</v>
      </c>
      <c r="L46" s="3">
        <v>45690.0</v>
      </c>
      <c r="M46" s="1">
        <v>18894.88</v>
      </c>
      <c r="N46" s="1" t="b">
        <f t="shared" si="2"/>
        <v>1</v>
      </c>
      <c r="O46" s="1" t="b">
        <f t="shared" si="3"/>
        <v>0</v>
      </c>
      <c r="P46" s="1" t="str">
        <f t="shared" si="4"/>
        <v>Atlantic Fiber Co|-18895.86</v>
      </c>
      <c r="Q46" s="1" t="str">
        <f t="shared" si="5"/>
        <v>Paid but No Bank Match</v>
      </c>
    </row>
    <row r="47">
      <c r="A47" s="1" t="s">
        <v>89</v>
      </c>
      <c r="B47" s="1" t="s">
        <v>90</v>
      </c>
      <c r="C47" s="3">
        <v>45809.0</v>
      </c>
      <c r="D47" s="3">
        <v>45854.0</v>
      </c>
      <c r="E47" s="1" t="s">
        <v>50</v>
      </c>
      <c r="F47" s="1" t="s">
        <v>24</v>
      </c>
      <c r="G47" s="1">
        <v>22250.37</v>
      </c>
      <c r="H47" s="1" t="s">
        <v>25</v>
      </c>
      <c r="I47" s="1">
        <v>1335.02</v>
      </c>
      <c r="J47" s="1">
        <f t="shared" si="1"/>
        <v>23585.11</v>
      </c>
      <c r="K47" s="1" t="b">
        <v>0</v>
      </c>
      <c r="L47" s="4"/>
      <c r="M47" s="1">
        <v>23585.39</v>
      </c>
      <c r="N47" s="1" t="b">
        <f t="shared" si="2"/>
        <v>1</v>
      </c>
      <c r="O47" s="1" t="b">
        <f t="shared" si="3"/>
        <v>1</v>
      </c>
      <c r="P47" s="1" t="str">
        <f t="shared" si="4"/>
        <v>Peak Materials Supply|-23585.11</v>
      </c>
      <c r="Q47" s="1" t="str">
        <f t="shared" si="5"/>
        <v>Unpaid</v>
      </c>
    </row>
    <row r="48">
      <c r="A48" s="1" t="s">
        <v>91</v>
      </c>
      <c r="B48" s="1" t="s">
        <v>30</v>
      </c>
      <c r="C48" s="3">
        <v>45770.0</v>
      </c>
      <c r="D48" s="3">
        <v>45800.0</v>
      </c>
      <c r="E48" s="1" t="s">
        <v>19</v>
      </c>
      <c r="F48" s="1" t="s">
        <v>24</v>
      </c>
      <c r="G48" s="1">
        <v>22514.58</v>
      </c>
      <c r="H48" s="1" t="s">
        <v>34</v>
      </c>
      <c r="I48" s="1">
        <v>1688.59</v>
      </c>
      <c r="J48" s="1">
        <f t="shared" si="1"/>
        <v>24203.43</v>
      </c>
      <c r="K48" s="1" t="b">
        <v>1</v>
      </c>
      <c r="L48" s="3">
        <v>45799.0</v>
      </c>
      <c r="M48" s="1">
        <v>24203.17</v>
      </c>
      <c r="N48" s="1" t="b">
        <f t="shared" si="2"/>
        <v>1</v>
      </c>
      <c r="O48" s="1" t="b">
        <f t="shared" si="3"/>
        <v>0</v>
      </c>
      <c r="P48" s="1" t="str">
        <f t="shared" si="4"/>
        <v>Tidal Contractors|-24203.43</v>
      </c>
      <c r="Q48" s="1" t="str">
        <f t="shared" si="5"/>
        <v>Paid but No Bank Match</v>
      </c>
    </row>
    <row r="49">
      <c r="A49" s="1" t="s">
        <v>92</v>
      </c>
      <c r="B49" s="1" t="s">
        <v>23</v>
      </c>
      <c r="C49" s="3">
        <v>46006.0</v>
      </c>
      <c r="D49" s="3">
        <v>46036.0</v>
      </c>
      <c r="E49" s="1" t="s">
        <v>54</v>
      </c>
      <c r="F49" s="1" t="s">
        <v>47</v>
      </c>
      <c r="G49" s="1">
        <v>7981.41</v>
      </c>
      <c r="H49" s="1" t="s">
        <v>25</v>
      </c>
      <c r="I49" s="1">
        <v>478.88</v>
      </c>
      <c r="J49" s="1">
        <f t="shared" si="1"/>
        <v>8460.29</v>
      </c>
      <c r="K49" s="1" t="b">
        <v>0</v>
      </c>
      <c r="L49" s="4"/>
      <c r="M49" s="1">
        <v>8460.29</v>
      </c>
      <c r="N49" s="1" t="b">
        <f t="shared" si="2"/>
        <v>0</v>
      </c>
      <c r="O49" s="1" t="b">
        <f t="shared" si="3"/>
        <v>1</v>
      </c>
      <c r="P49" s="1" t="str">
        <f t="shared" si="4"/>
        <v>Atlantic Fiber Co|-8460.29</v>
      </c>
      <c r="Q49" s="1" t="str">
        <f t="shared" si="5"/>
        <v>Unpaid</v>
      </c>
    </row>
    <row r="50">
      <c r="A50" s="1" t="s">
        <v>93</v>
      </c>
      <c r="B50" s="1" t="s">
        <v>23</v>
      </c>
      <c r="C50" s="3">
        <v>45865.0</v>
      </c>
      <c r="D50" s="3">
        <v>45910.0</v>
      </c>
      <c r="E50" s="1" t="s">
        <v>19</v>
      </c>
      <c r="F50" s="1" t="s">
        <v>32</v>
      </c>
      <c r="G50" s="1">
        <v>4810.17</v>
      </c>
      <c r="H50" s="1" t="s">
        <v>25</v>
      </c>
      <c r="I50" s="1">
        <v>288.61</v>
      </c>
      <c r="J50" s="1">
        <f t="shared" si="1"/>
        <v>5098.78</v>
      </c>
      <c r="K50" s="1" t="b">
        <v>1</v>
      </c>
      <c r="L50" s="3">
        <v>45883.0</v>
      </c>
      <c r="M50" s="1">
        <v>5098.78</v>
      </c>
      <c r="N50" s="1" t="b">
        <f t="shared" si="2"/>
        <v>0</v>
      </c>
      <c r="O50" s="1" t="b">
        <f t="shared" si="3"/>
        <v>0</v>
      </c>
      <c r="P50" s="1" t="str">
        <f t="shared" si="4"/>
        <v>Atlantic Fiber Co|-5098.78</v>
      </c>
      <c r="Q50" s="1" t="str">
        <f t="shared" si="5"/>
        <v>Paid but No Bank Match</v>
      </c>
    </row>
    <row r="51">
      <c r="A51" s="1" t="s">
        <v>94</v>
      </c>
      <c r="B51" s="1" t="s">
        <v>27</v>
      </c>
      <c r="C51" s="3">
        <v>45934.0</v>
      </c>
      <c r="D51" s="3">
        <v>45979.0</v>
      </c>
      <c r="E51" s="1" t="s">
        <v>37</v>
      </c>
      <c r="F51" s="1" t="s">
        <v>47</v>
      </c>
      <c r="G51" s="1">
        <v>9478.49</v>
      </c>
      <c r="H51" s="1" t="s">
        <v>45</v>
      </c>
      <c r="I51" s="1">
        <v>616.1</v>
      </c>
      <c r="J51" s="1">
        <f t="shared" si="1"/>
        <v>10094.59</v>
      </c>
      <c r="K51" s="1" t="b">
        <v>1</v>
      </c>
      <c r="L51" s="3">
        <v>45955.0</v>
      </c>
      <c r="M51" s="1">
        <v>10094.59</v>
      </c>
      <c r="N51" s="1" t="b">
        <f t="shared" si="2"/>
        <v>0</v>
      </c>
      <c r="O51" s="1" t="b">
        <f t="shared" si="3"/>
        <v>0</v>
      </c>
      <c r="P51" s="1" t="str">
        <f t="shared" si="4"/>
        <v>Sunline Electrical|-10094.59</v>
      </c>
      <c r="Q51" s="1" t="str">
        <f t="shared" si="5"/>
        <v>Paid but No Bank Match</v>
      </c>
    </row>
    <row r="52">
      <c r="A52" s="1" t="s">
        <v>95</v>
      </c>
      <c r="B52" s="1" t="s">
        <v>62</v>
      </c>
      <c r="C52" s="3">
        <v>45785.0</v>
      </c>
      <c r="D52" s="3">
        <v>45830.0</v>
      </c>
      <c r="E52" s="1" t="s">
        <v>50</v>
      </c>
      <c r="F52" s="1" t="s">
        <v>28</v>
      </c>
      <c r="G52" s="1">
        <v>2795.03</v>
      </c>
      <c r="H52" s="1" t="s">
        <v>45</v>
      </c>
      <c r="I52" s="1">
        <v>181.68</v>
      </c>
      <c r="J52" s="1">
        <f t="shared" si="1"/>
        <v>2976.71</v>
      </c>
      <c r="K52" s="1" t="b">
        <v>1</v>
      </c>
      <c r="L52" s="3">
        <v>45811.0</v>
      </c>
      <c r="M52" s="1">
        <v>2976.71</v>
      </c>
      <c r="N52" s="1" t="b">
        <f t="shared" si="2"/>
        <v>0</v>
      </c>
      <c r="O52" s="1" t="b">
        <f t="shared" si="3"/>
        <v>0</v>
      </c>
      <c r="P52" s="1" t="str">
        <f t="shared" si="4"/>
        <v>Bay Area Rentals|-2976.71</v>
      </c>
      <c r="Q52" s="1" t="str">
        <f t="shared" si="5"/>
        <v>Paid but No Bank Match</v>
      </c>
    </row>
    <row r="53">
      <c r="A53" s="1" t="s">
        <v>96</v>
      </c>
      <c r="B53" s="1" t="s">
        <v>23</v>
      </c>
      <c r="C53" s="3">
        <v>45895.0</v>
      </c>
      <c r="D53" s="3">
        <v>45925.0</v>
      </c>
      <c r="E53" s="1" t="s">
        <v>31</v>
      </c>
      <c r="F53" s="1" t="s">
        <v>24</v>
      </c>
      <c r="G53" s="1">
        <v>24482.88</v>
      </c>
      <c r="H53" s="1" t="s">
        <v>45</v>
      </c>
      <c r="I53" s="1">
        <v>1591.39</v>
      </c>
      <c r="J53" s="1">
        <f t="shared" si="1"/>
        <v>26074.27</v>
      </c>
      <c r="K53" s="1" t="b">
        <v>1</v>
      </c>
      <c r="L53" s="3">
        <v>45907.0</v>
      </c>
      <c r="M53" s="1">
        <v>26074.27</v>
      </c>
      <c r="N53" s="1" t="b">
        <f t="shared" si="2"/>
        <v>0</v>
      </c>
      <c r="O53" s="1" t="b">
        <f t="shared" si="3"/>
        <v>0</v>
      </c>
      <c r="P53" s="1" t="str">
        <f t="shared" si="4"/>
        <v>Atlantic Fiber Co|-26074.27</v>
      </c>
      <c r="Q53" s="1" t="str">
        <f t="shared" si="5"/>
        <v>Paid but No Bank Match</v>
      </c>
    </row>
    <row r="54">
      <c r="A54" s="1" t="s">
        <v>97</v>
      </c>
      <c r="B54" s="1" t="s">
        <v>27</v>
      </c>
      <c r="C54" s="3">
        <v>45940.0</v>
      </c>
      <c r="D54" s="3">
        <v>45970.0</v>
      </c>
      <c r="E54" s="1" t="s">
        <v>31</v>
      </c>
      <c r="F54" s="1" t="s">
        <v>47</v>
      </c>
      <c r="G54" s="1">
        <v>9076.92</v>
      </c>
      <c r="H54" s="1" t="s">
        <v>21</v>
      </c>
      <c r="I54" s="1">
        <v>635.38</v>
      </c>
      <c r="J54" s="1">
        <f t="shared" si="1"/>
        <v>9712.52</v>
      </c>
      <c r="K54" s="1" t="b">
        <v>1</v>
      </c>
      <c r="L54" s="3">
        <v>46008.0</v>
      </c>
      <c r="M54" s="1">
        <v>9712.3</v>
      </c>
      <c r="N54" s="1" t="b">
        <f t="shared" si="2"/>
        <v>1</v>
      </c>
      <c r="O54" s="1" t="b">
        <f t="shared" si="3"/>
        <v>0</v>
      </c>
      <c r="P54" s="1" t="str">
        <f t="shared" si="4"/>
        <v>Sunline Electrical|-9712.52</v>
      </c>
      <c r="Q54" s="1" t="str">
        <f t="shared" si="5"/>
        <v>Paid but No Bank Match</v>
      </c>
    </row>
    <row r="55">
      <c r="A55" s="1" t="s">
        <v>98</v>
      </c>
      <c r="B55" s="1" t="s">
        <v>27</v>
      </c>
      <c r="C55" s="3">
        <v>45974.0</v>
      </c>
      <c r="D55" s="3">
        <v>46004.0</v>
      </c>
      <c r="E55" s="1" t="s">
        <v>50</v>
      </c>
      <c r="F55" s="1" t="s">
        <v>24</v>
      </c>
      <c r="G55" s="1">
        <v>14514.1</v>
      </c>
      <c r="H55" s="1" t="s">
        <v>34</v>
      </c>
      <c r="I55" s="1">
        <v>1088.56</v>
      </c>
      <c r="J55" s="1">
        <f t="shared" si="1"/>
        <v>15602.66</v>
      </c>
      <c r="K55" s="1" t="b">
        <v>1</v>
      </c>
      <c r="L55" s="3">
        <v>45995.0</v>
      </c>
      <c r="M55" s="1">
        <v>15602.66</v>
      </c>
      <c r="N55" s="1" t="b">
        <f t="shared" si="2"/>
        <v>0</v>
      </c>
      <c r="O55" s="1" t="b">
        <f t="shared" si="3"/>
        <v>0</v>
      </c>
      <c r="P55" s="1" t="str">
        <f t="shared" si="4"/>
        <v>Sunline Electrical|-15602.66</v>
      </c>
      <c r="Q55" s="1" t="str">
        <f t="shared" si="5"/>
        <v>Paid but No Bank Match</v>
      </c>
    </row>
    <row r="56">
      <c r="A56" s="1" t="s">
        <v>99</v>
      </c>
      <c r="B56" s="1" t="s">
        <v>18</v>
      </c>
      <c r="C56" s="3">
        <v>45829.0</v>
      </c>
      <c r="D56" s="3">
        <v>45859.0</v>
      </c>
      <c r="E56" s="1" t="s">
        <v>54</v>
      </c>
      <c r="F56" s="1" t="s">
        <v>32</v>
      </c>
      <c r="G56" s="1">
        <v>23871.25</v>
      </c>
      <c r="H56" s="1" t="s">
        <v>21</v>
      </c>
      <c r="I56" s="1">
        <v>1670.99</v>
      </c>
      <c r="J56" s="1">
        <f t="shared" si="1"/>
        <v>25542.24</v>
      </c>
      <c r="K56" s="1" t="b">
        <v>0</v>
      </c>
      <c r="L56" s="4"/>
      <c r="M56" s="1">
        <v>25542.24</v>
      </c>
      <c r="N56" s="1" t="b">
        <f t="shared" si="2"/>
        <v>0</v>
      </c>
      <c r="O56" s="1" t="b">
        <f t="shared" si="3"/>
        <v>1</v>
      </c>
      <c r="P56" s="1" t="str">
        <f t="shared" si="4"/>
        <v>Tri-County Services|-25542.24</v>
      </c>
      <c r="Q56" s="1" t="str">
        <f t="shared" si="5"/>
        <v>Unpaid</v>
      </c>
    </row>
    <row r="57">
      <c r="A57" s="1" t="s">
        <v>100</v>
      </c>
      <c r="B57" s="1" t="s">
        <v>59</v>
      </c>
      <c r="C57" s="3">
        <v>45756.0</v>
      </c>
      <c r="D57" s="3">
        <v>45786.0</v>
      </c>
      <c r="E57" s="1" t="s">
        <v>31</v>
      </c>
      <c r="F57" s="1" t="s">
        <v>24</v>
      </c>
      <c r="G57" s="1">
        <v>23850.26</v>
      </c>
      <c r="H57" s="1" t="s">
        <v>25</v>
      </c>
      <c r="I57" s="1">
        <v>1431.02</v>
      </c>
      <c r="J57" s="1">
        <f t="shared" si="1"/>
        <v>25281.28</v>
      </c>
      <c r="K57" s="1" t="b">
        <v>1</v>
      </c>
      <c r="L57" s="3">
        <v>45806.0</v>
      </c>
      <c r="M57" s="1">
        <v>25281.28</v>
      </c>
      <c r="N57" s="1" t="b">
        <f t="shared" si="2"/>
        <v>0</v>
      </c>
      <c r="O57" s="1" t="b">
        <f t="shared" si="3"/>
        <v>0</v>
      </c>
      <c r="P57" s="1" t="str">
        <f t="shared" si="4"/>
        <v>Skyline Engineering|-25281.28</v>
      </c>
      <c r="Q57" s="1" t="str">
        <f t="shared" si="5"/>
        <v>Paid but No Bank Match</v>
      </c>
    </row>
    <row r="58">
      <c r="A58" s="1" t="s">
        <v>101</v>
      </c>
      <c r="B58" s="1" t="s">
        <v>18</v>
      </c>
      <c r="C58" s="3">
        <v>45838.0</v>
      </c>
      <c r="D58" s="3">
        <v>45883.0</v>
      </c>
      <c r="E58" s="1" t="s">
        <v>37</v>
      </c>
      <c r="F58" s="1" t="s">
        <v>28</v>
      </c>
      <c r="G58" s="1">
        <v>24518.12</v>
      </c>
      <c r="H58" s="1" t="s">
        <v>45</v>
      </c>
      <c r="I58" s="1">
        <v>1593.68</v>
      </c>
      <c r="J58" s="1">
        <f t="shared" si="1"/>
        <v>26110.5</v>
      </c>
      <c r="K58" s="1" t="b">
        <v>1</v>
      </c>
      <c r="L58" s="3">
        <v>45874.0</v>
      </c>
      <c r="M58" s="1">
        <v>26111.8</v>
      </c>
      <c r="N58" s="1" t="b">
        <f t="shared" si="2"/>
        <v>1</v>
      </c>
      <c r="O58" s="1" t="b">
        <f t="shared" si="3"/>
        <v>0</v>
      </c>
      <c r="P58" s="1" t="str">
        <f t="shared" si="4"/>
        <v>Tri-County Services|-26110.5</v>
      </c>
      <c r="Q58" s="1" t="str">
        <f t="shared" si="5"/>
        <v>Paid but No Bank Match</v>
      </c>
    </row>
    <row r="59">
      <c r="A59" s="1" t="s">
        <v>102</v>
      </c>
      <c r="B59" s="1" t="s">
        <v>23</v>
      </c>
      <c r="C59" s="3">
        <v>45818.0</v>
      </c>
      <c r="D59" s="3">
        <v>45863.0</v>
      </c>
      <c r="E59" s="1" t="s">
        <v>54</v>
      </c>
      <c r="F59" s="1" t="s">
        <v>28</v>
      </c>
      <c r="G59" s="1">
        <v>4652.57</v>
      </c>
      <c r="H59" s="1" t="s">
        <v>45</v>
      </c>
      <c r="I59" s="1">
        <v>302.42</v>
      </c>
      <c r="J59" s="1">
        <f t="shared" si="1"/>
        <v>4954.99</v>
      </c>
      <c r="K59" s="1" t="b">
        <v>1</v>
      </c>
      <c r="L59" s="3">
        <v>45876.0</v>
      </c>
      <c r="M59" s="1">
        <v>4954.99</v>
      </c>
      <c r="N59" s="1" t="b">
        <f t="shared" si="2"/>
        <v>0</v>
      </c>
      <c r="O59" s="1" t="b">
        <f t="shared" si="3"/>
        <v>0</v>
      </c>
      <c r="P59" s="1" t="str">
        <f t="shared" si="4"/>
        <v>Atlantic Fiber Co|-4954.99</v>
      </c>
      <c r="Q59" s="1" t="str">
        <f t="shared" si="5"/>
        <v>Paid but No Bank Match</v>
      </c>
    </row>
    <row r="60">
      <c r="A60" s="1" t="s">
        <v>103</v>
      </c>
      <c r="B60" s="1" t="s">
        <v>49</v>
      </c>
      <c r="C60" s="3">
        <v>45715.0</v>
      </c>
      <c r="D60" s="3">
        <v>45760.0</v>
      </c>
      <c r="E60" s="1" t="s">
        <v>19</v>
      </c>
      <c r="F60" s="1" t="s">
        <v>32</v>
      </c>
      <c r="G60" s="1">
        <v>2225.2</v>
      </c>
      <c r="H60" s="1" t="s">
        <v>25</v>
      </c>
      <c r="I60" s="1">
        <v>133.51</v>
      </c>
      <c r="J60" s="1">
        <f t="shared" si="1"/>
        <v>2358.13</v>
      </c>
      <c r="K60" s="1" t="b">
        <v>1</v>
      </c>
      <c r="L60" s="3">
        <v>45766.0</v>
      </c>
      <c r="M60" s="1">
        <v>2358.71</v>
      </c>
      <c r="N60" s="1" t="b">
        <f t="shared" si="2"/>
        <v>1</v>
      </c>
      <c r="O60" s="1" t="b">
        <f t="shared" si="3"/>
        <v>0</v>
      </c>
      <c r="P60" s="1" t="str">
        <f t="shared" si="4"/>
        <v>Sunshine Equipment|-2358.13</v>
      </c>
      <c r="Q60" s="1" t="str">
        <f t="shared" si="5"/>
        <v>Paid but No Bank Match</v>
      </c>
    </row>
    <row r="61">
      <c r="A61" s="1" t="s">
        <v>104</v>
      </c>
      <c r="B61" s="1" t="s">
        <v>59</v>
      </c>
      <c r="C61" s="3">
        <v>45999.0</v>
      </c>
      <c r="D61" s="3">
        <v>46029.0</v>
      </c>
      <c r="E61" s="1" t="s">
        <v>19</v>
      </c>
      <c r="F61" s="1" t="s">
        <v>28</v>
      </c>
      <c r="G61" s="1">
        <v>6727.01</v>
      </c>
      <c r="H61" s="1" t="s">
        <v>45</v>
      </c>
      <c r="I61" s="1">
        <v>437.26</v>
      </c>
      <c r="J61" s="1">
        <f t="shared" si="1"/>
        <v>7162.88</v>
      </c>
      <c r="K61" s="1" t="b">
        <v>1</v>
      </c>
      <c r="L61" s="3">
        <v>46020.0</v>
      </c>
      <c r="M61" s="1">
        <v>7164.27</v>
      </c>
      <c r="N61" s="1" t="b">
        <f t="shared" si="2"/>
        <v>1</v>
      </c>
      <c r="O61" s="1" t="b">
        <f t="shared" si="3"/>
        <v>0</v>
      </c>
      <c r="P61" s="1" t="str">
        <f t="shared" si="4"/>
        <v>Skyline Engineering|-7162.88</v>
      </c>
      <c r="Q61" s="1" t="str">
        <f t="shared" si="5"/>
        <v>Paid but No Bank Match</v>
      </c>
    </row>
    <row r="62">
      <c r="A62" s="1" t="s">
        <v>105</v>
      </c>
      <c r="B62" s="1" t="s">
        <v>36</v>
      </c>
      <c r="C62" s="3">
        <v>45761.0</v>
      </c>
      <c r="D62" s="3">
        <v>45806.0</v>
      </c>
      <c r="E62" s="1" t="s">
        <v>19</v>
      </c>
      <c r="F62" s="1" t="s">
        <v>28</v>
      </c>
      <c r="G62" s="1">
        <v>17710.86</v>
      </c>
      <c r="H62" s="1" t="s">
        <v>45</v>
      </c>
      <c r="I62" s="1">
        <v>1151.21</v>
      </c>
      <c r="J62" s="1">
        <f t="shared" si="1"/>
        <v>18862.07</v>
      </c>
      <c r="K62" s="1" t="b">
        <v>1</v>
      </c>
      <c r="L62" s="3">
        <v>45807.0</v>
      </c>
      <c r="M62" s="1">
        <v>18862.07</v>
      </c>
      <c r="N62" s="1" t="b">
        <f t="shared" si="2"/>
        <v>0</v>
      </c>
      <c r="O62" s="1" t="b">
        <f t="shared" si="3"/>
        <v>0</v>
      </c>
      <c r="P62" s="1" t="str">
        <f t="shared" si="4"/>
        <v>Tampa Grid Services|-18862.07</v>
      </c>
      <c r="Q62" s="1" t="str">
        <f t="shared" si="5"/>
        <v>Paid but No Bank Match</v>
      </c>
    </row>
    <row r="63">
      <c r="A63" s="1" t="s">
        <v>106</v>
      </c>
      <c r="B63" s="1" t="s">
        <v>90</v>
      </c>
      <c r="C63" s="3">
        <v>45904.0</v>
      </c>
      <c r="D63" s="3">
        <v>45934.0</v>
      </c>
      <c r="E63" s="1" t="s">
        <v>54</v>
      </c>
      <c r="F63" s="1" t="s">
        <v>20</v>
      </c>
      <c r="G63" s="1">
        <v>6777.07</v>
      </c>
      <c r="H63" s="1" t="s">
        <v>34</v>
      </c>
      <c r="I63" s="1">
        <v>508.28</v>
      </c>
      <c r="J63" s="1">
        <f t="shared" si="1"/>
        <v>7285.78</v>
      </c>
      <c r="K63" s="1" t="b">
        <v>1</v>
      </c>
      <c r="L63" s="3">
        <v>45968.0</v>
      </c>
      <c r="M63" s="1">
        <v>7285.35</v>
      </c>
      <c r="N63" s="1" t="b">
        <f t="shared" si="2"/>
        <v>1</v>
      </c>
      <c r="O63" s="1" t="b">
        <f t="shared" si="3"/>
        <v>0</v>
      </c>
      <c r="P63" s="1" t="str">
        <f t="shared" si="4"/>
        <v>Peak Materials Supply|-7285.78</v>
      </c>
      <c r="Q63" s="1" t="str">
        <f t="shared" si="5"/>
        <v>Paid but No Bank Match</v>
      </c>
    </row>
    <row r="64">
      <c r="A64" s="1" t="s">
        <v>107</v>
      </c>
      <c r="B64" s="1" t="s">
        <v>18</v>
      </c>
      <c r="C64" s="3">
        <v>45970.0</v>
      </c>
      <c r="D64" s="3">
        <v>46015.0</v>
      </c>
      <c r="E64" s="1" t="s">
        <v>19</v>
      </c>
      <c r="F64" s="1" t="s">
        <v>28</v>
      </c>
      <c r="G64" s="1">
        <v>5259.71</v>
      </c>
      <c r="H64" s="1" t="s">
        <v>45</v>
      </c>
      <c r="I64" s="1">
        <v>341.88</v>
      </c>
      <c r="J64" s="1">
        <f t="shared" si="1"/>
        <v>5601.59</v>
      </c>
      <c r="K64" s="1" t="b">
        <v>1</v>
      </c>
      <c r="L64" s="3">
        <v>45990.0</v>
      </c>
      <c r="M64" s="1">
        <v>5601.59</v>
      </c>
      <c r="N64" s="1" t="b">
        <f t="shared" si="2"/>
        <v>0</v>
      </c>
      <c r="O64" s="1" t="b">
        <f t="shared" si="3"/>
        <v>0</v>
      </c>
      <c r="P64" s="1" t="str">
        <f t="shared" si="4"/>
        <v>Tri-County Services|-5601.59</v>
      </c>
      <c r="Q64" s="1" t="str">
        <f t="shared" si="5"/>
        <v>Paid but No Bank Match</v>
      </c>
    </row>
    <row r="65">
      <c r="A65" s="1" t="s">
        <v>108</v>
      </c>
      <c r="B65" s="1" t="s">
        <v>40</v>
      </c>
      <c r="C65" s="3">
        <v>45799.0</v>
      </c>
      <c r="D65" s="3">
        <v>45829.0</v>
      </c>
      <c r="E65" s="1" t="s">
        <v>31</v>
      </c>
      <c r="F65" s="1" t="s">
        <v>28</v>
      </c>
      <c r="G65" s="1">
        <v>8780.88</v>
      </c>
      <c r="H65" s="1" t="s">
        <v>45</v>
      </c>
      <c r="I65" s="1">
        <v>570.76</v>
      </c>
      <c r="J65" s="1">
        <f t="shared" si="1"/>
        <v>9351.64</v>
      </c>
      <c r="K65" s="1" t="b">
        <v>1</v>
      </c>
      <c r="L65" s="3">
        <v>45835.0</v>
      </c>
      <c r="M65" s="1">
        <v>9351.64</v>
      </c>
      <c r="N65" s="1" t="b">
        <f t="shared" si="2"/>
        <v>0</v>
      </c>
      <c r="O65" s="1" t="b">
        <f t="shared" si="3"/>
        <v>0</v>
      </c>
      <c r="P65" s="1" t="str">
        <f t="shared" si="4"/>
        <v>Gulf Coast Telecom|-9351.64</v>
      </c>
      <c r="Q65" s="1" t="str">
        <f t="shared" si="5"/>
        <v>Paid but No Bank Match</v>
      </c>
    </row>
    <row r="66">
      <c r="A66" s="1" t="s">
        <v>109</v>
      </c>
      <c r="B66" s="1" t="s">
        <v>90</v>
      </c>
      <c r="C66" s="3">
        <v>45872.0</v>
      </c>
      <c r="D66" s="3">
        <v>45902.0</v>
      </c>
      <c r="E66" s="1" t="s">
        <v>37</v>
      </c>
      <c r="F66" s="1" t="s">
        <v>28</v>
      </c>
      <c r="G66" s="1">
        <v>8539.74</v>
      </c>
      <c r="H66" s="1" t="s">
        <v>45</v>
      </c>
      <c r="I66" s="1">
        <v>555.08</v>
      </c>
      <c r="J66" s="1">
        <f t="shared" si="1"/>
        <v>9094.82</v>
      </c>
      <c r="K66" s="1" t="b">
        <v>1</v>
      </c>
      <c r="L66" s="3">
        <v>45938.0</v>
      </c>
      <c r="M66" s="1">
        <v>9094.82</v>
      </c>
      <c r="N66" s="1" t="b">
        <f t="shared" si="2"/>
        <v>0</v>
      </c>
      <c r="O66" s="1" t="b">
        <f t="shared" si="3"/>
        <v>0</v>
      </c>
      <c r="P66" s="1" t="str">
        <f t="shared" si="4"/>
        <v>Peak Materials Supply|-9094.82</v>
      </c>
      <c r="Q66" s="1" t="str">
        <f t="shared" si="5"/>
        <v>Paid but No Bank Match</v>
      </c>
    </row>
    <row r="67">
      <c r="A67" s="1" t="s">
        <v>110</v>
      </c>
      <c r="B67" s="1" t="s">
        <v>30</v>
      </c>
      <c r="C67" s="3">
        <v>45782.0</v>
      </c>
      <c r="D67" s="3">
        <v>45827.0</v>
      </c>
      <c r="E67" s="1" t="s">
        <v>37</v>
      </c>
      <c r="F67" s="1" t="s">
        <v>24</v>
      </c>
      <c r="G67" s="1">
        <v>21579.91</v>
      </c>
      <c r="H67" s="1" t="s">
        <v>34</v>
      </c>
      <c r="I67" s="1">
        <v>1618.49</v>
      </c>
      <c r="J67" s="1">
        <f t="shared" si="1"/>
        <v>23197</v>
      </c>
      <c r="K67" s="1" t="b">
        <v>1</v>
      </c>
      <c r="L67" s="3">
        <v>45828.0</v>
      </c>
      <c r="M67" s="1">
        <v>23198.4</v>
      </c>
      <c r="N67" s="1" t="b">
        <f t="shared" si="2"/>
        <v>1</v>
      </c>
      <c r="O67" s="1" t="b">
        <f t="shared" si="3"/>
        <v>0</v>
      </c>
      <c r="P67" s="1" t="str">
        <f t="shared" si="4"/>
        <v>Tidal Contractors|-23197</v>
      </c>
      <c r="Q67" s="1" t="str">
        <f t="shared" si="5"/>
        <v>Paid but No Bank Match</v>
      </c>
    </row>
    <row r="68">
      <c r="A68" s="1" t="s">
        <v>111</v>
      </c>
      <c r="B68" s="1" t="s">
        <v>18</v>
      </c>
      <c r="C68" s="3">
        <v>45983.0</v>
      </c>
      <c r="D68" s="3">
        <v>46028.0</v>
      </c>
      <c r="E68" s="1" t="s">
        <v>37</v>
      </c>
      <c r="F68" s="1" t="s">
        <v>24</v>
      </c>
      <c r="G68" s="1">
        <v>13658.52</v>
      </c>
      <c r="H68" s="1" t="s">
        <v>34</v>
      </c>
      <c r="I68" s="1">
        <v>1024.39</v>
      </c>
      <c r="J68" s="1">
        <f t="shared" si="1"/>
        <v>14682.91</v>
      </c>
      <c r="K68" s="1" t="b">
        <v>1</v>
      </c>
      <c r="L68" s="3">
        <v>45995.0</v>
      </c>
      <c r="M68" s="1">
        <v>14682.91</v>
      </c>
      <c r="N68" s="1" t="b">
        <f t="shared" si="2"/>
        <v>0</v>
      </c>
      <c r="O68" s="1" t="b">
        <f t="shared" si="3"/>
        <v>0</v>
      </c>
      <c r="P68" s="1" t="str">
        <f t="shared" si="4"/>
        <v>Tri-County Services|-14682.91</v>
      </c>
      <c r="Q68" s="1" t="str">
        <f t="shared" si="5"/>
        <v>Paid but No Bank Match</v>
      </c>
    </row>
    <row r="69">
      <c r="A69" s="1" t="s">
        <v>112</v>
      </c>
      <c r="B69" s="1" t="s">
        <v>57</v>
      </c>
      <c r="C69" s="3">
        <v>45710.0</v>
      </c>
      <c r="D69" s="3">
        <v>45740.0</v>
      </c>
      <c r="E69" s="1" t="s">
        <v>37</v>
      </c>
      <c r="F69" s="1" t="s">
        <v>28</v>
      </c>
      <c r="G69" s="1">
        <v>24148.67</v>
      </c>
      <c r="H69" s="1" t="s">
        <v>25</v>
      </c>
      <c r="I69" s="1">
        <v>1448.92</v>
      </c>
      <c r="J69" s="1">
        <f t="shared" si="1"/>
        <v>25597.59</v>
      </c>
      <c r="K69" s="1" t="b">
        <v>1</v>
      </c>
      <c r="L69" s="3">
        <v>45720.0</v>
      </c>
      <c r="M69" s="1">
        <v>25597.59</v>
      </c>
      <c r="N69" s="1" t="b">
        <f t="shared" si="2"/>
        <v>0</v>
      </c>
      <c r="O69" s="1" t="b">
        <f t="shared" si="3"/>
        <v>0</v>
      </c>
      <c r="P69" s="1" t="str">
        <f t="shared" si="4"/>
        <v>Florida Line Crew LLC|-25597.59</v>
      </c>
      <c r="Q69" s="1" t="str">
        <f t="shared" si="5"/>
        <v>Paid but No Bank Match</v>
      </c>
    </row>
    <row r="70">
      <c r="A70" s="1" t="s">
        <v>113</v>
      </c>
      <c r="B70" s="1" t="s">
        <v>30</v>
      </c>
      <c r="C70" s="3">
        <v>46022.0</v>
      </c>
      <c r="D70" s="3">
        <v>46067.0</v>
      </c>
      <c r="E70" s="1" t="s">
        <v>31</v>
      </c>
      <c r="F70" s="1" t="s">
        <v>24</v>
      </c>
      <c r="G70" s="1">
        <v>10578.17</v>
      </c>
      <c r="H70" s="1" t="s">
        <v>34</v>
      </c>
      <c r="I70" s="1">
        <v>793.36</v>
      </c>
      <c r="J70" s="1">
        <f t="shared" si="1"/>
        <v>11370.83</v>
      </c>
      <c r="K70" s="1" t="b">
        <v>0</v>
      </c>
      <c r="L70" s="4"/>
      <c r="M70" s="1">
        <v>11371.53</v>
      </c>
      <c r="N70" s="1" t="b">
        <f t="shared" si="2"/>
        <v>1</v>
      </c>
      <c r="O70" s="1" t="b">
        <f t="shared" si="3"/>
        <v>1</v>
      </c>
      <c r="P70" s="1" t="str">
        <f t="shared" si="4"/>
        <v>Tidal Contractors|-11370.83</v>
      </c>
      <c r="Q70" s="1" t="str">
        <f t="shared" si="5"/>
        <v>Unpaid</v>
      </c>
    </row>
    <row r="71">
      <c r="A71" s="1" t="s">
        <v>114</v>
      </c>
      <c r="B71" s="1" t="s">
        <v>40</v>
      </c>
      <c r="C71" s="3">
        <v>45965.0</v>
      </c>
      <c r="D71" s="3">
        <v>45995.0</v>
      </c>
      <c r="E71" s="1" t="s">
        <v>31</v>
      </c>
      <c r="F71" s="1" t="s">
        <v>24</v>
      </c>
      <c r="G71" s="1">
        <v>24253.65</v>
      </c>
      <c r="H71" s="1" t="s">
        <v>45</v>
      </c>
      <c r="I71" s="1">
        <v>1576.49</v>
      </c>
      <c r="J71" s="1">
        <f t="shared" si="1"/>
        <v>25830.14</v>
      </c>
      <c r="K71" s="1" t="b">
        <v>1</v>
      </c>
      <c r="L71" s="3">
        <v>45988.0</v>
      </c>
      <c r="M71" s="1">
        <v>25830.14</v>
      </c>
      <c r="N71" s="1" t="b">
        <f t="shared" si="2"/>
        <v>0</v>
      </c>
      <c r="O71" s="1" t="b">
        <f t="shared" si="3"/>
        <v>0</v>
      </c>
      <c r="P71" s="1" t="str">
        <f t="shared" si="4"/>
        <v>Gulf Coast Telecom|-25830.14</v>
      </c>
      <c r="Q71" s="1" t="str">
        <f t="shared" si="5"/>
        <v>Paid but No Bank Match</v>
      </c>
    </row>
    <row r="72">
      <c r="A72" s="1" t="s">
        <v>115</v>
      </c>
      <c r="B72" s="1" t="s">
        <v>59</v>
      </c>
      <c r="C72" s="3">
        <v>45802.0</v>
      </c>
      <c r="D72" s="3">
        <v>45832.0</v>
      </c>
      <c r="E72" s="1" t="s">
        <v>54</v>
      </c>
      <c r="F72" s="1" t="s">
        <v>28</v>
      </c>
      <c r="G72" s="1">
        <v>11121.26</v>
      </c>
      <c r="H72" s="1" t="s">
        <v>34</v>
      </c>
      <c r="I72" s="1">
        <v>834.09</v>
      </c>
      <c r="J72" s="1">
        <f t="shared" si="1"/>
        <v>11955.35</v>
      </c>
      <c r="K72" s="1" t="b">
        <v>1</v>
      </c>
      <c r="L72" s="3">
        <v>45868.0</v>
      </c>
      <c r="M72" s="1">
        <v>11955.35</v>
      </c>
      <c r="N72" s="1" t="b">
        <f t="shared" si="2"/>
        <v>0</v>
      </c>
      <c r="O72" s="1" t="b">
        <f t="shared" si="3"/>
        <v>0</v>
      </c>
      <c r="P72" s="1" t="str">
        <f t="shared" si="4"/>
        <v>Skyline Engineering|-11955.35</v>
      </c>
      <c r="Q72" s="1" t="str">
        <f t="shared" si="5"/>
        <v>Paid but No Bank Match</v>
      </c>
    </row>
    <row r="73">
      <c r="A73" s="1" t="s">
        <v>116</v>
      </c>
      <c r="B73" s="1" t="s">
        <v>90</v>
      </c>
      <c r="C73" s="3">
        <v>45936.0</v>
      </c>
      <c r="D73" s="3">
        <v>45981.0</v>
      </c>
      <c r="E73" s="1" t="s">
        <v>19</v>
      </c>
      <c r="F73" s="1" t="s">
        <v>20</v>
      </c>
      <c r="G73" s="1">
        <v>17368.25</v>
      </c>
      <c r="H73" s="1" t="s">
        <v>21</v>
      </c>
      <c r="I73" s="1">
        <v>1215.78</v>
      </c>
      <c r="J73" s="1">
        <f t="shared" si="1"/>
        <v>18584.03</v>
      </c>
      <c r="K73" s="1" t="b">
        <v>1</v>
      </c>
      <c r="L73" s="3">
        <v>45941.0</v>
      </c>
      <c r="M73" s="1">
        <v>18584.03</v>
      </c>
      <c r="N73" s="1" t="b">
        <f t="shared" si="2"/>
        <v>0</v>
      </c>
      <c r="O73" s="1" t="b">
        <f t="shared" si="3"/>
        <v>0</v>
      </c>
      <c r="P73" s="1" t="str">
        <f t="shared" si="4"/>
        <v>Peak Materials Supply|-18584.03</v>
      </c>
      <c r="Q73" s="1" t="str">
        <f t="shared" si="5"/>
        <v>Paid but No Bank Match</v>
      </c>
    </row>
    <row r="74">
      <c r="A74" s="1" t="s">
        <v>117</v>
      </c>
      <c r="B74" s="1" t="s">
        <v>18</v>
      </c>
      <c r="C74" s="3">
        <v>45896.0</v>
      </c>
      <c r="D74" s="3">
        <v>45926.0</v>
      </c>
      <c r="E74" s="1" t="s">
        <v>19</v>
      </c>
      <c r="F74" s="1" t="s">
        <v>20</v>
      </c>
      <c r="G74" s="1">
        <v>13956.05</v>
      </c>
      <c r="H74" s="1" t="s">
        <v>25</v>
      </c>
      <c r="I74" s="1">
        <v>837.36</v>
      </c>
      <c r="J74" s="1">
        <f t="shared" si="1"/>
        <v>14793.41</v>
      </c>
      <c r="K74" s="1" t="b">
        <v>1</v>
      </c>
      <c r="L74" s="3">
        <v>45901.0</v>
      </c>
      <c r="M74" s="1">
        <v>14793.41</v>
      </c>
      <c r="N74" s="1" t="b">
        <f t="shared" si="2"/>
        <v>0</v>
      </c>
      <c r="O74" s="1" t="b">
        <f t="shared" si="3"/>
        <v>0</v>
      </c>
      <c r="P74" s="1" t="str">
        <f t="shared" si="4"/>
        <v>Tri-County Services|-14793.41</v>
      </c>
      <c r="Q74" s="1" t="str">
        <f t="shared" si="5"/>
        <v>Paid but No Bank Match</v>
      </c>
    </row>
    <row r="75">
      <c r="A75" s="1" t="s">
        <v>118</v>
      </c>
      <c r="B75" s="1" t="s">
        <v>59</v>
      </c>
      <c r="C75" s="3">
        <v>45929.0</v>
      </c>
      <c r="D75" s="3">
        <v>45959.0</v>
      </c>
      <c r="E75" s="1" t="s">
        <v>50</v>
      </c>
      <c r="F75" s="1" t="s">
        <v>28</v>
      </c>
      <c r="G75" s="1">
        <v>16599.23</v>
      </c>
      <c r="H75" s="1" t="s">
        <v>21</v>
      </c>
      <c r="I75" s="1">
        <v>1161.95</v>
      </c>
      <c r="J75" s="1">
        <f t="shared" si="1"/>
        <v>17761.18</v>
      </c>
      <c r="K75" s="1" t="b">
        <v>1</v>
      </c>
      <c r="L75" s="3">
        <v>45959.0</v>
      </c>
      <c r="M75" s="1">
        <v>17761.18</v>
      </c>
      <c r="N75" s="1" t="b">
        <f t="shared" si="2"/>
        <v>0</v>
      </c>
      <c r="O75" s="1" t="b">
        <f t="shared" si="3"/>
        <v>0</v>
      </c>
      <c r="P75" s="1" t="str">
        <f t="shared" si="4"/>
        <v>Skyline Engineering|-17761.18</v>
      </c>
      <c r="Q75" s="1" t="str">
        <f t="shared" si="5"/>
        <v>Paid but No Bank Match</v>
      </c>
    </row>
    <row r="76">
      <c r="A76" s="1" t="s">
        <v>119</v>
      </c>
      <c r="B76" s="1" t="s">
        <v>62</v>
      </c>
      <c r="C76" s="3">
        <v>45801.0</v>
      </c>
      <c r="D76" s="3">
        <v>45831.0</v>
      </c>
      <c r="E76" s="1" t="s">
        <v>50</v>
      </c>
      <c r="F76" s="1" t="s">
        <v>20</v>
      </c>
      <c r="G76" s="1">
        <v>3444.03</v>
      </c>
      <c r="H76" s="1" t="s">
        <v>25</v>
      </c>
      <c r="I76" s="1">
        <v>206.64</v>
      </c>
      <c r="J76" s="1">
        <f t="shared" si="1"/>
        <v>3650.67</v>
      </c>
      <c r="K76" s="1" t="b">
        <v>1</v>
      </c>
      <c r="L76" s="3">
        <v>45852.0</v>
      </c>
      <c r="M76" s="1">
        <v>3650.67</v>
      </c>
      <c r="N76" s="1" t="b">
        <f t="shared" si="2"/>
        <v>0</v>
      </c>
      <c r="O76" s="1" t="b">
        <f t="shared" si="3"/>
        <v>0</v>
      </c>
      <c r="P76" s="1" t="str">
        <f t="shared" si="4"/>
        <v>Bay Area Rentals|-3650.67</v>
      </c>
      <c r="Q76" s="1" t="str">
        <f t="shared" si="5"/>
        <v>Paid but No Bank Match</v>
      </c>
    </row>
    <row r="77">
      <c r="A77" s="1" t="s">
        <v>120</v>
      </c>
      <c r="B77" s="1" t="s">
        <v>18</v>
      </c>
      <c r="C77" s="3">
        <v>45751.0</v>
      </c>
      <c r="D77" s="3">
        <v>45781.0</v>
      </c>
      <c r="E77" s="1" t="s">
        <v>37</v>
      </c>
      <c r="F77" s="1" t="s">
        <v>28</v>
      </c>
      <c r="G77" s="1">
        <v>17739.62</v>
      </c>
      <c r="H77" s="1" t="s">
        <v>34</v>
      </c>
      <c r="I77" s="1">
        <v>1330.47</v>
      </c>
      <c r="J77" s="1">
        <f t="shared" si="1"/>
        <v>19070.09</v>
      </c>
      <c r="K77" s="1" t="b">
        <v>1</v>
      </c>
      <c r="L77" s="3">
        <v>45803.0</v>
      </c>
      <c r="M77" s="1">
        <v>19070.09</v>
      </c>
      <c r="N77" s="1" t="b">
        <f t="shared" si="2"/>
        <v>0</v>
      </c>
      <c r="O77" s="1" t="b">
        <f t="shared" si="3"/>
        <v>0</v>
      </c>
      <c r="P77" s="1" t="str">
        <f t="shared" si="4"/>
        <v>Tri-County Services|-19070.09</v>
      </c>
      <c r="Q77" s="1" t="str">
        <f t="shared" si="5"/>
        <v>Paid but No Bank Match</v>
      </c>
    </row>
    <row r="78">
      <c r="A78" s="1" t="s">
        <v>121</v>
      </c>
      <c r="B78" s="1" t="s">
        <v>62</v>
      </c>
      <c r="C78" s="3">
        <v>45998.0</v>
      </c>
      <c r="D78" s="3">
        <v>46028.0</v>
      </c>
      <c r="E78" s="1" t="s">
        <v>54</v>
      </c>
      <c r="F78" s="1" t="s">
        <v>28</v>
      </c>
      <c r="G78" s="1">
        <v>4743.45</v>
      </c>
      <c r="H78" s="1" t="s">
        <v>21</v>
      </c>
      <c r="I78" s="1">
        <v>332.04</v>
      </c>
      <c r="J78" s="1">
        <f t="shared" si="1"/>
        <v>5075.49</v>
      </c>
      <c r="K78" s="1" t="b">
        <v>0</v>
      </c>
      <c r="L78" s="4"/>
      <c r="M78" s="1">
        <v>5075.49</v>
      </c>
      <c r="N78" s="1" t="b">
        <f t="shared" si="2"/>
        <v>0</v>
      </c>
      <c r="O78" s="1" t="b">
        <f t="shared" si="3"/>
        <v>1</v>
      </c>
      <c r="P78" s="1" t="str">
        <f t="shared" si="4"/>
        <v>Bay Area Rentals|-5075.49</v>
      </c>
      <c r="Q78" s="1" t="str">
        <f t="shared" si="5"/>
        <v>Unpaid</v>
      </c>
    </row>
    <row r="79">
      <c r="A79" s="1" t="s">
        <v>122</v>
      </c>
      <c r="B79" s="1" t="s">
        <v>49</v>
      </c>
      <c r="C79" s="3">
        <v>45907.0</v>
      </c>
      <c r="D79" s="3">
        <v>45952.0</v>
      </c>
      <c r="E79" s="1" t="s">
        <v>37</v>
      </c>
      <c r="F79" s="1" t="s">
        <v>28</v>
      </c>
      <c r="G79" s="1">
        <v>16059.79</v>
      </c>
      <c r="H79" s="1" t="s">
        <v>21</v>
      </c>
      <c r="I79" s="1">
        <v>1124.19</v>
      </c>
      <c r="J79" s="1">
        <f t="shared" si="1"/>
        <v>17183.98</v>
      </c>
      <c r="K79" s="1" t="b">
        <v>1</v>
      </c>
      <c r="L79" s="3">
        <v>45921.0</v>
      </c>
      <c r="M79" s="1">
        <v>17183.98</v>
      </c>
      <c r="N79" s="1" t="b">
        <f t="shared" si="2"/>
        <v>0</v>
      </c>
      <c r="O79" s="1" t="b">
        <f t="shared" si="3"/>
        <v>0</v>
      </c>
      <c r="P79" s="1" t="str">
        <f t="shared" si="4"/>
        <v>Sunshine Equipment|-17183.98</v>
      </c>
      <c r="Q79" s="1" t="str">
        <f t="shared" si="5"/>
        <v>Paid but No Bank Match</v>
      </c>
    </row>
    <row r="80">
      <c r="A80" s="1" t="s">
        <v>123</v>
      </c>
      <c r="B80" s="1" t="s">
        <v>27</v>
      </c>
      <c r="C80" s="3">
        <v>45907.0</v>
      </c>
      <c r="D80" s="3">
        <v>45937.0</v>
      </c>
      <c r="E80" s="1" t="s">
        <v>54</v>
      </c>
      <c r="F80" s="1" t="s">
        <v>51</v>
      </c>
      <c r="G80" s="1">
        <v>12775.48</v>
      </c>
      <c r="H80" s="1" t="s">
        <v>45</v>
      </c>
      <c r="I80" s="1">
        <v>830.41</v>
      </c>
      <c r="J80" s="1">
        <f t="shared" si="1"/>
        <v>13605.89</v>
      </c>
      <c r="K80" s="1" t="b">
        <v>1</v>
      </c>
      <c r="L80" s="3">
        <v>45915.0</v>
      </c>
      <c r="M80" s="1">
        <v>13605.89</v>
      </c>
      <c r="N80" s="1" t="b">
        <f t="shared" si="2"/>
        <v>0</v>
      </c>
      <c r="O80" s="1" t="b">
        <f t="shared" si="3"/>
        <v>0</v>
      </c>
      <c r="P80" s="1" t="str">
        <f t="shared" si="4"/>
        <v>Sunline Electrical|-13605.89</v>
      </c>
      <c r="Q80" s="1" t="str">
        <f t="shared" si="5"/>
        <v>Paid but No Bank Match</v>
      </c>
    </row>
    <row r="81">
      <c r="A81" s="1" t="s">
        <v>124</v>
      </c>
      <c r="B81" s="1" t="s">
        <v>40</v>
      </c>
      <c r="C81" s="3">
        <v>45673.0</v>
      </c>
      <c r="D81" s="3">
        <v>45718.0</v>
      </c>
      <c r="E81" s="1" t="s">
        <v>37</v>
      </c>
      <c r="F81" s="1" t="s">
        <v>47</v>
      </c>
      <c r="G81" s="1">
        <v>16239.27</v>
      </c>
      <c r="H81" s="1" t="s">
        <v>45</v>
      </c>
      <c r="I81" s="1">
        <v>1055.55</v>
      </c>
      <c r="J81" s="1">
        <f t="shared" si="1"/>
        <v>17294.82</v>
      </c>
      <c r="K81" s="1" t="b">
        <v>1</v>
      </c>
      <c r="L81" s="3">
        <v>45709.0</v>
      </c>
      <c r="M81" s="1">
        <v>17294.82</v>
      </c>
      <c r="N81" s="1" t="b">
        <f t="shared" si="2"/>
        <v>0</v>
      </c>
      <c r="O81" s="1" t="b">
        <f t="shared" si="3"/>
        <v>0</v>
      </c>
      <c r="P81" s="1" t="str">
        <f t="shared" si="4"/>
        <v>Gulf Coast Telecom|-17294.82</v>
      </c>
      <c r="Q81" s="1" t="str">
        <f t="shared" si="5"/>
        <v>Paid but No Bank Match</v>
      </c>
    </row>
    <row r="82">
      <c r="A82" s="1" t="s">
        <v>125</v>
      </c>
      <c r="B82" s="1" t="s">
        <v>27</v>
      </c>
      <c r="C82" s="3">
        <v>45997.0</v>
      </c>
      <c r="D82" s="3">
        <v>46027.0</v>
      </c>
      <c r="E82" s="1" t="s">
        <v>37</v>
      </c>
      <c r="F82" s="1" t="s">
        <v>28</v>
      </c>
      <c r="G82" s="1">
        <v>10010.16</v>
      </c>
      <c r="H82" s="1" t="s">
        <v>45</v>
      </c>
      <c r="I82" s="1">
        <v>650.66</v>
      </c>
      <c r="J82" s="1">
        <f t="shared" si="1"/>
        <v>10661.43</v>
      </c>
      <c r="K82" s="1" t="b">
        <v>0</v>
      </c>
      <c r="L82" s="4"/>
      <c r="M82" s="1">
        <v>10660.82</v>
      </c>
      <c r="N82" s="1" t="b">
        <f t="shared" si="2"/>
        <v>1</v>
      </c>
      <c r="O82" s="1" t="b">
        <f t="shared" si="3"/>
        <v>1</v>
      </c>
      <c r="P82" s="1" t="str">
        <f t="shared" si="4"/>
        <v>Sunline Electrical|-10661.43</v>
      </c>
      <c r="Q82" s="1" t="str">
        <f t="shared" si="5"/>
        <v>Unpaid</v>
      </c>
    </row>
    <row r="83">
      <c r="A83" s="1" t="s">
        <v>126</v>
      </c>
      <c r="B83" s="1" t="s">
        <v>27</v>
      </c>
      <c r="C83" s="3">
        <v>45836.0</v>
      </c>
      <c r="D83" s="3">
        <v>45866.0</v>
      </c>
      <c r="E83" s="1" t="s">
        <v>31</v>
      </c>
      <c r="F83" s="1" t="s">
        <v>47</v>
      </c>
      <c r="G83" s="1">
        <v>15835.52</v>
      </c>
      <c r="H83" s="1" t="s">
        <v>45</v>
      </c>
      <c r="I83" s="1">
        <v>1029.31</v>
      </c>
      <c r="J83" s="1">
        <f t="shared" si="1"/>
        <v>16864.83</v>
      </c>
      <c r="K83" s="1" t="b">
        <v>1</v>
      </c>
      <c r="L83" s="3">
        <v>45880.0</v>
      </c>
      <c r="M83" s="1">
        <v>16864.83</v>
      </c>
      <c r="N83" s="1" t="b">
        <f t="shared" si="2"/>
        <v>0</v>
      </c>
      <c r="O83" s="1" t="b">
        <f t="shared" si="3"/>
        <v>0</v>
      </c>
      <c r="P83" s="1" t="str">
        <f t="shared" si="4"/>
        <v>Sunline Electrical|-16864.83</v>
      </c>
      <c r="Q83" s="1" t="str">
        <f t="shared" si="5"/>
        <v>Paid but No Bank Match</v>
      </c>
    </row>
    <row r="84">
      <c r="A84" s="1" t="s">
        <v>127</v>
      </c>
      <c r="B84" s="1" t="s">
        <v>42</v>
      </c>
      <c r="C84" s="3">
        <v>45987.0</v>
      </c>
      <c r="D84" s="3">
        <v>46032.0</v>
      </c>
      <c r="E84" s="1" t="s">
        <v>54</v>
      </c>
      <c r="F84" s="1" t="s">
        <v>24</v>
      </c>
      <c r="G84" s="1">
        <v>7212.05</v>
      </c>
      <c r="H84" s="1" t="s">
        <v>25</v>
      </c>
      <c r="I84" s="1">
        <v>432.72</v>
      </c>
      <c r="J84" s="1">
        <f t="shared" si="1"/>
        <v>7644.77</v>
      </c>
      <c r="K84" s="1" t="b">
        <v>0</v>
      </c>
      <c r="L84" s="4"/>
      <c r="M84" s="1">
        <v>7644.77</v>
      </c>
      <c r="N84" s="1" t="b">
        <f t="shared" si="2"/>
        <v>0</v>
      </c>
      <c r="O84" s="1" t="b">
        <f t="shared" si="3"/>
        <v>1</v>
      </c>
      <c r="P84" s="1" t="str">
        <f t="shared" si="4"/>
        <v>BrightPower Partners|-7644.77</v>
      </c>
      <c r="Q84" s="1" t="str">
        <f t="shared" si="5"/>
        <v>Unpaid</v>
      </c>
    </row>
    <row r="85">
      <c r="A85" s="1" t="s">
        <v>128</v>
      </c>
      <c r="B85" s="1" t="s">
        <v>59</v>
      </c>
      <c r="C85" s="3">
        <v>45910.0</v>
      </c>
      <c r="D85" s="3">
        <v>45940.0</v>
      </c>
      <c r="E85" s="1" t="s">
        <v>37</v>
      </c>
      <c r="F85" s="1" t="s">
        <v>24</v>
      </c>
      <c r="G85" s="1">
        <v>17233.67</v>
      </c>
      <c r="H85" s="1" t="s">
        <v>25</v>
      </c>
      <c r="I85" s="1">
        <v>1034.02</v>
      </c>
      <c r="J85" s="1">
        <f t="shared" si="1"/>
        <v>18267.69</v>
      </c>
      <c r="K85" s="1" t="b">
        <v>1</v>
      </c>
      <c r="L85" s="3">
        <v>45922.0</v>
      </c>
      <c r="M85" s="1">
        <v>18267.69</v>
      </c>
      <c r="N85" s="1" t="b">
        <f t="shared" si="2"/>
        <v>0</v>
      </c>
      <c r="O85" s="1" t="b">
        <f t="shared" si="3"/>
        <v>0</v>
      </c>
      <c r="P85" s="1" t="str">
        <f t="shared" si="4"/>
        <v>Skyline Engineering|-18267.69</v>
      </c>
      <c r="Q85" s="1" t="str">
        <f t="shared" si="5"/>
        <v>Paid but No Bank Match</v>
      </c>
    </row>
    <row r="86">
      <c r="A86" s="1" t="s">
        <v>129</v>
      </c>
      <c r="B86" s="1" t="s">
        <v>27</v>
      </c>
      <c r="C86" s="3">
        <v>45750.0</v>
      </c>
      <c r="D86" s="3">
        <v>45780.0</v>
      </c>
      <c r="E86" s="1" t="s">
        <v>37</v>
      </c>
      <c r="F86" s="1" t="s">
        <v>47</v>
      </c>
      <c r="G86" s="1">
        <v>1070.16</v>
      </c>
      <c r="H86" s="1" t="s">
        <v>34</v>
      </c>
      <c r="I86" s="1">
        <v>80.26</v>
      </c>
      <c r="J86" s="1">
        <f t="shared" si="1"/>
        <v>1150.42</v>
      </c>
      <c r="K86" s="1" t="b">
        <v>1</v>
      </c>
      <c r="L86" s="3">
        <v>45761.0</v>
      </c>
      <c r="M86" s="1">
        <v>1150.42</v>
      </c>
      <c r="N86" s="1" t="b">
        <f t="shared" si="2"/>
        <v>0</v>
      </c>
      <c r="O86" s="1" t="b">
        <f t="shared" si="3"/>
        <v>0</v>
      </c>
      <c r="P86" s="1" t="str">
        <f t="shared" si="4"/>
        <v>Sunline Electrical|-1150.42</v>
      </c>
      <c r="Q86" s="1" t="str">
        <f t="shared" si="5"/>
        <v>Paid but No Bank Match</v>
      </c>
    </row>
    <row r="87">
      <c r="A87" s="1" t="s">
        <v>130</v>
      </c>
      <c r="B87" s="1" t="s">
        <v>18</v>
      </c>
      <c r="C87" s="3">
        <v>45853.0</v>
      </c>
      <c r="D87" s="3">
        <v>45898.0</v>
      </c>
      <c r="E87" s="1" t="s">
        <v>31</v>
      </c>
      <c r="F87" s="1" t="s">
        <v>20</v>
      </c>
      <c r="G87" s="1">
        <v>9034.25</v>
      </c>
      <c r="H87" s="1" t="s">
        <v>34</v>
      </c>
      <c r="I87" s="1">
        <v>677.57</v>
      </c>
      <c r="J87" s="1">
        <f t="shared" si="1"/>
        <v>9711.82</v>
      </c>
      <c r="K87" s="1" t="b">
        <v>0</v>
      </c>
      <c r="L87" s="4"/>
      <c r="M87" s="1">
        <v>9711.82</v>
      </c>
      <c r="N87" s="1" t="b">
        <f t="shared" si="2"/>
        <v>0</v>
      </c>
      <c r="O87" s="1" t="b">
        <f t="shared" si="3"/>
        <v>1</v>
      </c>
      <c r="P87" s="1" t="str">
        <f t="shared" si="4"/>
        <v>Tri-County Services|-9711.82</v>
      </c>
      <c r="Q87" s="1" t="str">
        <f t="shared" si="5"/>
        <v>Unpaid</v>
      </c>
    </row>
    <row r="88">
      <c r="A88" s="1" t="s">
        <v>131</v>
      </c>
      <c r="B88" s="1" t="s">
        <v>42</v>
      </c>
      <c r="C88" s="3">
        <v>45874.0</v>
      </c>
      <c r="D88" s="3">
        <v>45919.0</v>
      </c>
      <c r="E88" s="1" t="s">
        <v>31</v>
      </c>
      <c r="F88" s="1" t="s">
        <v>20</v>
      </c>
      <c r="G88" s="1">
        <v>7409.85</v>
      </c>
      <c r="H88" s="1" t="s">
        <v>25</v>
      </c>
      <c r="I88" s="1">
        <v>444.59</v>
      </c>
      <c r="J88" s="1">
        <f t="shared" si="1"/>
        <v>7853.71</v>
      </c>
      <c r="K88" s="1" t="b">
        <v>1</v>
      </c>
      <c r="L88" s="3">
        <v>45902.0</v>
      </c>
      <c r="M88" s="1">
        <v>7854.44</v>
      </c>
      <c r="N88" s="1" t="b">
        <f t="shared" si="2"/>
        <v>1</v>
      </c>
      <c r="O88" s="1" t="b">
        <f t="shared" si="3"/>
        <v>0</v>
      </c>
      <c r="P88" s="1" t="str">
        <f t="shared" si="4"/>
        <v>BrightPower Partners|-7853.71</v>
      </c>
      <c r="Q88" s="1" t="str">
        <f t="shared" si="5"/>
        <v>Paid but No Bank Match</v>
      </c>
    </row>
    <row r="89">
      <c r="A89" s="1" t="s">
        <v>132</v>
      </c>
      <c r="B89" s="1" t="s">
        <v>57</v>
      </c>
      <c r="C89" s="3">
        <v>45849.0</v>
      </c>
      <c r="D89" s="3">
        <v>45894.0</v>
      </c>
      <c r="E89" s="1" t="s">
        <v>37</v>
      </c>
      <c r="F89" s="1" t="s">
        <v>28</v>
      </c>
      <c r="G89" s="1">
        <v>18425.37</v>
      </c>
      <c r="H89" s="1" t="s">
        <v>21</v>
      </c>
      <c r="I89" s="1">
        <v>1289.78</v>
      </c>
      <c r="J89" s="1">
        <f t="shared" si="1"/>
        <v>19715.15</v>
      </c>
      <c r="K89" s="1" t="b">
        <v>1</v>
      </c>
      <c r="L89" s="3">
        <v>45877.0</v>
      </c>
      <c r="M89" s="1">
        <v>19715.15</v>
      </c>
      <c r="N89" s="1" t="b">
        <f t="shared" si="2"/>
        <v>0</v>
      </c>
      <c r="O89" s="1" t="b">
        <f t="shared" si="3"/>
        <v>0</v>
      </c>
      <c r="P89" s="1" t="str">
        <f t="shared" si="4"/>
        <v>Florida Line Crew LLC|-19715.15</v>
      </c>
      <c r="Q89" s="1" t="str">
        <f t="shared" si="5"/>
        <v>Paid but No Bank Match</v>
      </c>
    </row>
    <row r="90">
      <c r="A90" s="1" t="s">
        <v>133</v>
      </c>
      <c r="B90" s="1" t="s">
        <v>62</v>
      </c>
      <c r="C90" s="3">
        <v>45808.0</v>
      </c>
      <c r="D90" s="3">
        <v>45853.0</v>
      </c>
      <c r="E90" s="1" t="s">
        <v>50</v>
      </c>
      <c r="F90" s="1" t="s">
        <v>60</v>
      </c>
      <c r="G90" s="1">
        <v>21531.11</v>
      </c>
      <c r="H90" s="1" t="s">
        <v>45</v>
      </c>
      <c r="I90" s="1">
        <v>1399.52</v>
      </c>
      <c r="J90" s="1">
        <f t="shared" si="1"/>
        <v>22930.63</v>
      </c>
      <c r="K90" s="1" t="b">
        <v>1</v>
      </c>
      <c r="L90" s="3">
        <v>45825.0</v>
      </c>
      <c r="M90" s="1">
        <v>22930.63</v>
      </c>
      <c r="N90" s="1" t="b">
        <f t="shared" si="2"/>
        <v>0</v>
      </c>
      <c r="O90" s="1" t="b">
        <f t="shared" si="3"/>
        <v>0</v>
      </c>
      <c r="P90" s="1" t="str">
        <f t="shared" si="4"/>
        <v>Bay Area Rentals|-22930.63</v>
      </c>
      <c r="Q90" s="1" t="str">
        <f t="shared" si="5"/>
        <v>Paid but No Bank Match</v>
      </c>
    </row>
    <row r="91">
      <c r="A91" s="1" t="s">
        <v>134</v>
      </c>
      <c r="B91" s="1" t="s">
        <v>62</v>
      </c>
      <c r="C91" s="3">
        <v>45936.0</v>
      </c>
      <c r="D91" s="3">
        <v>45966.0</v>
      </c>
      <c r="E91" s="1" t="s">
        <v>37</v>
      </c>
      <c r="F91" s="1" t="s">
        <v>20</v>
      </c>
      <c r="G91" s="1">
        <v>3026.53</v>
      </c>
      <c r="H91" s="1" t="s">
        <v>21</v>
      </c>
      <c r="I91" s="1">
        <v>211.86</v>
      </c>
      <c r="J91" s="1">
        <f t="shared" si="1"/>
        <v>3238.39</v>
      </c>
      <c r="K91" s="1" t="b">
        <v>0</v>
      </c>
      <c r="L91" s="4"/>
      <c r="M91" s="1">
        <v>3238.39</v>
      </c>
      <c r="N91" s="1" t="b">
        <f t="shared" si="2"/>
        <v>0</v>
      </c>
      <c r="O91" s="1" t="b">
        <f t="shared" si="3"/>
        <v>1</v>
      </c>
      <c r="P91" s="1" t="str">
        <f t="shared" si="4"/>
        <v>Bay Area Rentals|-3238.39</v>
      </c>
      <c r="Q91" s="1" t="str">
        <f t="shared" si="5"/>
        <v>Unpaid</v>
      </c>
    </row>
    <row r="92">
      <c r="A92" s="1" t="s">
        <v>135</v>
      </c>
      <c r="B92" s="1" t="s">
        <v>62</v>
      </c>
      <c r="C92" s="3">
        <v>45719.0</v>
      </c>
      <c r="D92" s="3">
        <v>45764.0</v>
      </c>
      <c r="E92" s="1" t="s">
        <v>54</v>
      </c>
      <c r="F92" s="1" t="s">
        <v>47</v>
      </c>
      <c r="G92" s="1">
        <v>10045.64</v>
      </c>
      <c r="H92" s="1" t="s">
        <v>25</v>
      </c>
      <c r="I92" s="1">
        <v>602.74</v>
      </c>
      <c r="J92" s="1">
        <f t="shared" si="1"/>
        <v>10648.38</v>
      </c>
      <c r="K92" s="1" t="b">
        <v>1</v>
      </c>
      <c r="L92" s="3">
        <v>45742.0</v>
      </c>
      <c r="M92" s="1">
        <v>10648.38</v>
      </c>
      <c r="N92" s="1" t="b">
        <f t="shared" si="2"/>
        <v>0</v>
      </c>
      <c r="O92" s="1" t="b">
        <f t="shared" si="3"/>
        <v>0</v>
      </c>
      <c r="P92" s="1" t="str">
        <f t="shared" si="4"/>
        <v>Bay Area Rentals|-10648.38</v>
      </c>
      <c r="Q92" s="1" t="str">
        <f t="shared" si="5"/>
        <v>Paid but No Bank Match</v>
      </c>
    </row>
    <row r="93">
      <c r="A93" s="1" t="s">
        <v>136</v>
      </c>
      <c r="B93" s="1" t="s">
        <v>18</v>
      </c>
      <c r="C93" s="3">
        <v>45834.0</v>
      </c>
      <c r="D93" s="3">
        <v>45864.0</v>
      </c>
      <c r="E93" s="1" t="s">
        <v>31</v>
      </c>
      <c r="F93" s="1" t="s">
        <v>47</v>
      </c>
      <c r="G93" s="1">
        <v>23984.27</v>
      </c>
      <c r="H93" s="1" t="s">
        <v>21</v>
      </c>
      <c r="I93" s="1">
        <v>1678.9</v>
      </c>
      <c r="J93" s="1">
        <f t="shared" si="1"/>
        <v>25663.17</v>
      </c>
      <c r="K93" s="1" t="b">
        <v>1</v>
      </c>
      <c r="L93" s="3">
        <v>45847.0</v>
      </c>
      <c r="M93" s="1">
        <v>25663.17</v>
      </c>
      <c r="N93" s="1" t="b">
        <f t="shared" si="2"/>
        <v>0</v>
      </c>
      <c r="O93" s="1" t="b">
        <f t="shared" si="3"/>
        <v>0</v>
      </c>
      <c r="P93" s="1" t="str">
        <f t="shared" si="4"/>
        <v>Tri-County Services|-25663.17</v>
      </c>
      <c r="Q93" s="1" t="str">
        <f t="shared" si="5"/>
        <v>Paid but No Bank Match</v>
      </c>
    </row>
    <row r="94">
      <c r="A94" s="1" t="s">
        <v>137</v>
      </c>
      <c r="B94" s="1" t="s">
        <v>18</v>
      </c>
      <c r="C94" s="3">
        <v>45941.0</v>
      </c>
      <c r="D94" s="3">
        <v>45971.0</v>
      </c>
      <c r="E94" s="1" t="s">
        <v>37</v>
      </c>
      <c r="F94" s="1" t="s">
        <v>60</v>
      </c>
      <c r="G94" s="1">
        <v>23789.88</v>
      </c>
      <c r="H94" s="1" t="s">
        <v>45</v>
      </c>
      <c r="I94" s="1">
        <v>1546.34</v>
      </c>
      <c r="J94" s="1">
        <f t="shared" si="1"/>
        <v>25336.22</v>
      </c>
      <c r="K94" s="1" t="b">
        <v>1</v>
      </c>
      <c r="L94" s="3">
        <v>45961.0</v>
      </c>
      <c r="M94" s="1">
        <v>25336.22</v>
      </c>
      <c r="N94" s="1" t="b">
        <f t="shared" si="2"/>
        <v>0</v>
      </c>
      <c r="O94" s="1" t="b">
        <f t="shared" si="3"/>
        <v>0</v>
      </c>
      <c r="P94" s="1" t="str">
        <f t="shared" si="4"/>
        <v>Tri-County Services|-25336.22</v>
      </c>
      <c r="Q94" s="1" t="str">
        <f t="shared" si="5"/>
        <v>Paid but No Bank Match</v>
      </c>
    </row>
    <row r="95">
      <c r="A95" s="1" t="s">
        <v>138</v>
      </c>
      <c r="B95" s="1" t="s">
        <v>40</v>
      </c>
      <c r="C95" s="3">
        <v>45726.0</v>
      </c>
      <c r="D95" s="3">
        <v>45756.0</v>
      </c>
      <c r="E95" s="1" t="s">
        <v>37</v>
      </c>
      <c r="F95" s="1" t="s">
        <v>28</v>
      </c>
      <c r="G95" s="1">
        <v>8552.28</v>
      </c>
      <c r="H95" s="1" t="s">
        <v>21</v>
      </c>
      <c r="I95" s="1">
        <v>598.66</v>
      </c>
      <c r="J95" s="1">
        <f t="shared" si="1"/>
        <v>9150.94</v>
      </c>
      <c r="K95" s="1" t="b">
        <v>1</v>
      </c>
      <c r="L95" s="3">
        <v>45783.0</v>
      </c>
      <c r="M95" s="1">
        <v>9150.94</v>
      </c>
      <c r="N95" s="1" t="b">
        <f t="shared" si="2"/>
        <v>0</v>
      </c>
      <c r="O95" s="1" t="b">
        <f t="shared" si="3"/>
        <v>0</v>
      </c>
      <c r="P95" s="1" t="str">
        <f t="shared" si="4"/>
        <v>Gulf Coast Telecom|-9150.94</v>
      </c>
      <c r="Q95" s="1" t="str">
        <f t="shared" si="5"/>
        <v>Paid but No Bank Match</v>
      </c>
    </row>
    <row r="96">
      <c r="A96" s="1" t="s">
        <v>139</v>
      </c>
      <c r="B96" s="1" t="s">
        <v>36</v>
      </c>
      <c r="C96" s="3">
        <v>45808.0</v>
      </c>
      <c r="D96" s="3">
        <v>45838.0</v>
      </c>
      <c r="E96" s="1" t="s">
        <v>19</v>
      </c>
      <c r="F96" s="1" t="s">
        <v>28</v>
      </c>
      <c r="G96" s="1">
        <v>3279.88</v>
      </c>
      <c r="H96" s="1" t="s">
        <v>25</v>
      </c>
      <c r="I96" s="1">
        <v>196.79</v>
      </c>
      <c r="J96" s="1">
        <f t="shared" si="1"/>
        <v>3476.67</v>
      </c>
      <c r="K96" s="1" t="b">
        <v>0</v>
      </c>
      <c r="L96" s="4"/>
      <c r="M96" s="1">
        <v>3476.67</v>
      </c>
      <c r="N96" s="1" t="b">
        <f t="shared" si="2"/>
        <v>0</v>
      </c>
      <c r="O96" s="1" t="b">
        <f t="shared" si="3"/>
        <v>1</v>
      </c>
      <c r="P96" s="1" t="str">
        <f t="shared" si="4"/>
        <v>Tampa Grid Services|-3476.67</v>
      </c>
      <c r="Q96" s="1" t="str">
        <f t="shared" si="5"/>
        <v>Unpaid</v>
      </c>
    </row>
    <row r="97">
      <c r="A97" s="1" t="s">
        <v>140</v>
      </c>
      <c r="B97" s="1" t="s">
        <v>59</v>
      </c>
      <c r="C97" s="3">
        <v>45843.0</v>
      </c>
      <c r="D97" s="3">
        <v>45873.0</v>
      </c>
      <c r="E97" s="1" t="s">
        <v>54</v>
      </c>
      <c r="F97" s="1" t="s">
        <v>47</v>
      </c>
      <c r="G97" s="1">
        <v>13963.46</v>
      </c>
      <c r="H97" s="1" t="s">
        <v>21</v>
      </c>
      <c r="I97" s="1">
        <v>977.44</v>
      </c>
      <c r="J97" s="1">
        <f t="shared" si="1"/>
        <v>14940.9</v>
      </c>
      <c r="K97" s="1" t="b">
        <v>1</v>
      </c>
      <c r="L97" s="3">
        <v>45865.0</v>
      </c>
      <c r="M97" s="1">
        <v>14940.9</v>
      </c>
      <c r="N97" s="1" t="b">
        <f t="shared" si="2"/>
        <v>0</v>
      </c>
      <c r="O97" s="1" t="b">
        <f t="shared" si="3"/>
        <v>0</v>
      </c>
      <c r="P97" s="1" t="str">
        <f t="shared" si="4"/>
        <v>Skyline Engineering|-14940.9</v>
      </c>
      <c r="Q97" s="1" t="str">
        <f t="shared" si="5"/>
        <v>Paid but No Bank Match</v>
      </c>
    </row>
    <row r="98">
      <c r="A98" s="1" t="s">
        <v>141</v>
      </c>
      <c r="B98" s="1" t="s">
        <v>42</v>
      </c>
      <c r="C98" s="3">
        <v>45896.0</v>
      </c>
      <c r="D98" s="3">
        <v>45941.0</v>
      </c>
      <c r="E98" s="1" t="s">
        <v>54</v>
      </c>
      <c r="F98" s="1" t="s">
        <v>47</v>
      </c>
      <c r="G98" s="1">
        <v>19157.01</v>
      </c>
      <c r="H98" s="1" t="s">
        <v>21</v>
      </c>
      <c r="I98" s="1">
        <v>1340.99</v>
      </c>
      <c r="J98" s="1">
        <f t="shared" si="1"/>
        <v>20498</v>
      </c>
      <c r="K98" s="1" t="b">
        <v>1</v>
      </c>
      <c r="L98" s="3">
        <v>45907.0</v>
      </c>
      <c r="M98" s="1">
        <v>20498.0</v>
      </c>
      <c r="N98" s="1" t="b">
        <f t="shared" si="2"/>
        <v>0</v>
      </c>
      <c r="O98" s="1" t="b">
        <f t="shared" si="3"/>
        <v>0</v>
      </c>
      <c r="P98" s="1" t="str">
        <f t="shared" si="4"/>
        <v>BrightPower Partners|-20498</v>
      </c>
      <c r="Q98" s="1" t="str">
        <f t="shared" si="5"/>
        <v>Paid but No Bank Match</v>
      </c>
    </row>
    <row r="99">
      <c r="A99" s="1" t="s">
        <v>142</v>
      </c>
      <c r="B99" s="1" t="s">
        <v>36</v>
      </c>
      <c r="C99" s="3">
        <v>45831.0</v>
      </c>
      <c r="D99" s="3">
        <v>45861.0</v>
      </c>
      <c r="E99" s="1" t="s">
        <v>19</v>
      </c>
      <c r="F99" s="1" t="s">
        <v>47</v>
      </c>
      <c r="G99" s="1">
        <v>2282.69</v>
      </c>
      <c r="H99" s="1" t="s">
        <v>21</v>
      </c>
      <c r="I99" s="1">
        <v>159.79</v>
      </c>
      <c r="J99" s="1">
        <f t="shared" si="1"/>
        <v>2442.48</v>
      </c>
      <c r="K99" s="1" t="b">
        <v>1</v>
      </c>
      <c r="L99" s="3">
        <v>45840.0</v>
      </c>
      <c r="M99" s="1">
        <v>2442.48</v>
      </c>
      <c r="N99" s="1" t="b">
        <f t="shared" si="2"/>
        <v>0</v>
      </c>
      <c r="O99" s="1" t="b">
        <f t="shared" si="3"/>
        <v>0</v>
      </c>
      <c r="P99" s="1" t="str">
        <f t="shared" si="4"/>
        <v>Tampa Grid Services|-2442.48</v>
      </c>
      <c r="Q99" s="1" t="str">
        <f t="shared" si="5"/>
        <v>Paid but No Bank Match</v>
      </c>
    </row>
    <row r="100">
      <c r="A100" s="1" t="s">
        <v>143</v>
      </c>
      <c r="B100" s="1" t="s">
        <v>36</v>
      </c>
      <c r="C100" s="3">
        <v>45686.0</v>
      </c>
      <c r="D100" s="3">
        <v>45731.0</v>
      </c>
      <c r="E100" s="1" t="s">
        <v>19</v>
      </c>
      <c r="F100" s="1" t="s">
        <v>28</v>
      </c>
      <c r="G100" s="1">
        <v>24672.67</v>
      </c>
      <c r="H100" s="1" t="s">
        <v>34</v>
      </c>
      <c r="I100" s="1">
        <v>1850.45</v>
      </c>
      <c r="J100" s="1">
        <f t="shared" si="1"/>
        <v>26523.12</v>
      </c>
      <c r="K100" s="1" t="b">
        <v>1</v>
      </c>
      <c r="L100" s="3">
        <v>45755.0</v>
      </c>
      <c r="M100" s="1">
        <v>26523.12</v>
      </c>
      <c r="N100" s="1" t="b">
        <f t="shared" si="2"/>
        <v>0</v>
      </c>
      <c r="O100" s="1" t="b">
        <f t="shared" si="3"/>
        <v>0</v>
      </c>
      <c r="P100" s="1" t="str">
        <f t="shared" si="4"/>
        <v>Tampa Grid Services|-26523.12</v>
      </c>
      <c r="Q100" s="1" t="str">
        <f t="shared" si="5"/>
        <v>Paid but No Bank Match</v>
      </c>
    </row>
    <row r="101">
      <c r="A101" s="1" t="s">
        <v>144</v>
      </c>
      <c r="B101" s="1" t="s">
        <v>49</v>
      </c>
      <c r="C101" s="3">
        <v>45999.0</v>
      </c>
      <c r="D101" s="3">
        <v>46029.0</v>
      </c>
      <c r="E101" s="1" t="s">
        <v>54</v>
      </c>
      <c r="F101" s="1" t="s">
        <v>20</v>
      </c>
      <c r="G101" s="1">
        <v>23707.59</v>
      </c>
      <c r="H101" s="1" t="s">
        <v>25</v>
      </c>
      <c r="I101" s="1">
        <v>1422.46</v>
      </c>
      <c r="J101" s="1">
        <f t="shared" si="1"/>
        <v>25130.05</v>
      </c>
      <c r="K101" s="1" t="b">
        <v>0</v>
      </c>
      <c r="L101" s="4"/>
      <c r="M101" s="1">
        <v>25130.05</v>
      </c>
      <c r="N101" s="1" t="b">
        <f t="shared" si="2"/>
        <v>0</v>
      </c>
      <c r="O101" s="1" t="b">
        <f t="shared" si="3"/>
        <v>1</v>
      </c>
      <c r="P101" s="1" t="str">
        <f t="shared" si="4"/>
        <v>Sunshine Equipment|-25130.05</v>
      </c>
      <c r="Q101" s="1" t="str">
        <f t="shared" si="5"/>
        <v>Unpaid</v>
      </c>
    </row>
    <row r="102">
      <c r="A102" s="1" t="s">
        <v>145</v>
      </c>
      <c r="B102" s="1" t="s">
        <v>59</v>
      </c>
      <c r="C102" s="3">
        <v>45789.0</v>
      </c>
      <c r="D102" s="3">
        <v>45834.0</v>
      </c>
      <c r="E102" s="1" t="s">
        <v>31</v>
      </c>
      <c r="F102" s="1" t="s">
        <v>47</v>
      </c>
      <c r="G102" s="1">
        <v>17850.44</v>
      </c>
      <c r="H102" s="1" t="s">
        <v>21</v>
      </c>
      <c r="I102" s="1">
        <v>1249.53</v>
      </c>
      <c r="J102" s="1">
        <f t="shared" si="1"/>
        <v>19098.65</v>
      </c>
      <c r="K102" s="1" t="b">
        <v>1</v>
      </c>
      <c r="L102" s="3">
        <v>45847.0</v>
      </c>
      <c r="M102" s="1">
        <v>19099.97</v>
      </c>
      <c r="N102" s="1" t="b">
        <f t="shared" si="2"/>
        <v>1</v>
      </c>
      <c r="O102" s="1" t="b">
        <f t="shared" si="3"/>
        <v>0</v>
      </c>
      <c r="P102" s="1" t="str">
        <f t="shared" si="4"/>
        <v>Skyline Engineering|-19098.65</v>
      </c>
      <c r="Q102" s="1" t="str">
        <f t="shared" si="5"/>
        <v>Paid but No Bank Match</v>
      </c>
    </row>
    <row r="103">
      <c r="A103" s="1" t="s">
        <v>146</v>
      </c>
      <c r="B103" s="1" t="s">
        <v>42</v>
      </c>
      <c r="C103" s="3">
        <v>45824.0</v>
      </c>
      <c r="D103" s="3">
        <v>45869.0</v>
      </c>
      <c r="E103" s="1" t="s">
        <v>54</v>
      </c>
      <c r="F103" s="1" t="s">
        <v>20</v>
      </c>
      <c r="G103" s="1">
        <v>22705.68</v>
      </c>
      <c r="H103" s="1" t="s">
        <v>21</v>
      </c>
      <c r="I103" s="1">
        <v>1589.4</v>
      </c>
      <c r="J103" s="1">
        <f t="shared" si="1"/>
        <v>24295.08</v>
      </c>
      <c r="K103" s="1" t="b">
        <v>1</v>
      </c>
      <c r="L103" s="3">
        <v>45873.0</v>
      </c>
      <c r="M103" s="1">
        <v>24295.08</v>
      </c>
      <c r="N103" s="1" t="b">
        <f t="shared" si="2"/>
        <v>0</v>
      </c>
      <c r="O103" s="1" t="b">
        <f t="shared" si="3"/>
        <v>0</v>
      </c>
      <c r="P103" s="1" t="str">
        <f t="shared" si="4"/>
        <v>BrightPower Partners|-24295.08</v>
      </c>
      <c r="Q103" s="1" t="str">
        <f t="shared" si="5"/>
        <v>Paid but No Bank Match</v>
      </c>
    </row>
    <row r="104">
      <c r="A104" s="1" t="s">
        <v>147</v>
      </c>
      <c r="B104" s="1" t="s">
        <v>18</v>
      </c>
      <c r="C104" s="3">
        <v>45798.0</v>
      </c>
      <c r="D104" s="3">
        <v>45843.0</v>
      </c>
      <c r="E104" s="1" t="s">
        <v>31</v>
      </c>
      <c r="F104" s="1" t="s">
        <v>47</v>
      </c>
      <c r="G104" s="1">
        <v>14501.09</v>
      </c>
      <c r="H104" s="1" t="s">
        <v>21</v>
      </c>
      <c r="I104" s="1">
        <v>1015.08</v>
      </c>
      <c r="J104" s="1">
        <f t="shared" si="1"/>
        <v>15516.17</v>
      </c>
      <c r="K104" s="1" t="b">
        <v>1</v>
      </c>
      <c r="L104" s="3">
        <v>45863.0</v>
      </c>
      <c r="M104" s="1">
        <v>15516.17</v>
      </c>
      <c r="N104" s="1" t="b">
        <f t="shared" si="2"/>
        <v>0</v>
      </c>
      <c r="O104" s="1" t="b">
        <f t="shared" si="3"/>
        <v>0</v>
      </c>
      <c r="P104" s="1" t="str">
        <f t="shared" si="4"/>
        <v>Tri-County Services|-15516.17</v>
      </c>
      <c r="Q104" s="1" t="str">
        <f t="shared" si="5"/>
        <v>Paid but No Bank Match</v>
      </c>
    </row>
    <row r="105">
      <c r="A105" s="1" t="s">
        <v>148</v>
      </c>
      <c r="B105" s="1" t="s">
        <v>90</v>
      </c>
      <c r="C105" s="3">
        <v>46018.0</v>
      </c>
      <c r="D105" s="3">
        <v>46063.0</v>
      </c>
      <c r="E105" s="1" t="s">
        <v>19</v>
      </c>
      <c r="F105" s="1" t="s">
        <v>20</v>
      </c>
      <c r="G105" s="1">
        <v>17185.47</v>
      </c>
      <c r="H105" s="1" t="s">
        <v>21</v>
      </c>
      <c r="I105" s="1">
        <v>1202.98</v>
      </c>
      <c r="J105" s="1">
        <f t="shared" si="1"/>
        <v>18388.45</v>
      </c>
      <c r="K105" s="1" t="b">
        <v>0</v>
      </c>
      <c r="L105" s="4"/>
      <c r="M105" s="1">
        <v>18388.45</v>
      </c>
      <c r="N105" s="1" t="b">
        <f t="shared" si="2"/>
        <v>0</v>
      </c>
      <c r="O105" s="1" t="b">
        <f t="shared" si="3"/>
        <v>1</v>
      </c>
      <c r="P105" s="1" t="str">
        <f t="shared" si="4"/>
        <v>Peak Materials Supply|-18388.45</v>
      </c>
      <c r="Q105" s="1" t="str">
        <f t="shared" si="5"/>
        <v>Unpaid</v>
      </c>
    </row>
    <row r="106">
      <c r="A106" s="1" t="s">
        <v>149</v>
      </c>
      <c r="B106" s="1" t="s">
        <v>90</v>
      </c>
      <c r="C106" s="3">
        <v>45969.0</v>
      </c>
      <c r="D106" s="3">
        <v>46014.0</v>
      </c>
      <c r="E106" s="1" t="s">
        <v>37</v>
      </c>
      <c r="F106" s="1" t="s">
        <v>24</v>
      </c>
      <c r="G106" s="1">
        <v>11190.23</v>
      </c>
      <c r="H106" s="1" t="s">
        <v>21</v>
      </c>
      <c r="I106" s="1">
        <v>783.32</v>
      </c>
      <c r="J106" s="1">
        <f t="shared" si="1"/>
        <v>11973.55</v>
      </c>
      <c r="K106" s="1" t="b">
        <v>1</v>
      </c>
      <c r="L106" s="3">
        <v>46018.0</v>
      </c>
      <c r="M106" s="1">
        <v>11973.55</v>
      </c>
      <c r="N106" s="1" t="b">
        <f t="shared" si="2"/>
        <v>0</v>
      </c>
      <c r="O106" s="1" t="b">
        <f t="shared" si="3"/>
        <v>0</v>
      </c>
      <c r="P106" s="1" t="str">
        <f t="shared" si="4"/>
        <v>Peak Materials Supply|-11973.55</v>
      </c>
      <c r="Q106" s="1" t="str">
        <f t="shared" si="5"/>
        <v>Paid but No Bank Match</v>
      </c>
    </row>
    <row r="107">
      <c r="A107" s="1" t="s">
        <v>150</v>
      </c>
      <c r="B107" s="1" t="s">
        <v>36</v>
      </c>
      <c r="C107" s="3">
        <v>45817.0</v>
      </c>
      <c r="D107" s="3">
        <v>45847.0</v>
      </c>
      <c r="E107" s="1" t="s">
        <v>54</v>
      </c>
      <c r="F107" s="1" t="s">
        <v>28</v>
      </c>
      <c r="G107" s="1">
        <v>8405.82</v>
      </c>
      <c r="H107" s="1" t="s">
        <v>21</v>
      </c>
      <c r="I107" s="1">
        <v>588.41</v>
      </c>
      <c r="J107" s="1">
        <f t="shared" si="1"/>
        <v>8994.23</v>
      </c>
      <c r="K107" s="1" t="b">
        <v>1</v>
      </c>
      <c r="L107" s="3">
        <v>45857.0</v>
      </c>
      <c r="M107" s="1">
        <v>8994.23</v>
      </c>
      <c r="N107" s="1" t="b">
        <f t="shared" si="2"/>
        <v>0</v>
      </c>
      <c r="O107" s="1" t="b">
        <f t="shared" si="3"/>
        <v>0</v>
      </c>
      <c r="P107" s="1" t="str">
        <f t="shared" si="4"/>
        <v>Tampa Grid Services|-8994.23</v>
      </c>
      <c r="Q107" s="1" t="str">
        <f t="shared" si="5"/>
        <v>Paid but No Bank Match</v>
      </c>
    </row>
    <row r="108">
      <c r="A108" s="1" t="s">
        <v>151</v>
      </c>
      <c r="B108" s="1" t="s">
        <v>40</v>
      </c>
      <c r="C108" s="3">
        <v>45884.0</v>
      </c>
      <c r="D108" s="3">
        <v>45929.0</v>
      </c>
      <c r="E108" s="1" t="s">
        <v>54</v>
      </c>
      <c r="F108" s="1" t="s">
        <v>20</v>
      </c>
      <c r="G108" s="1">
        <v>2348.15</v>
      </c>
      <c r="H108" s="1" t="s">
        <v>25</v>
      </c>
      <c r="I108" s="1">
        <v>140.89</v>
      </c>
      <c r="J108" s="1">
        <f t="shared" si="1"/>
        <v>2489.04</v>
      </c>
      <c r="K108" s="1" t="b">
        <v>1</v>
      </c>
      <c r="L108" s="3">
        <v>45937.0</v>
      </c>
      <c r="M108" s="1">
        <v>2489.04</v>
      </c>
      <c r="N108" s="1" t="b">
        <f t="shared" si="2"/>
        <v>0</v>
      </c>
      <c r="O108" s="1" t="b">
        <f t="shared" si="3"/>
        <v>0</v>
      </c>
      <c r="P108" s="1" t="str">
        <f t="shared" si="4"/>
        <v>Gulf Coast Telecom|-2489.04</v>
      </c>
      <c r="Q108" s="1" t="str">
        <f t="shared" si="5"/>
        <v>Paid but No Bank Match</v>
      </c>
    </row>
    <row r="109">
      <c r="A109" s="1" t="s">
        <v>152</v>
      </c>
      <c r="B109" s="1" t="s">
        <v>62</v>
      </c>
      <c r="C109" s="3">
        <v>45671.0</v>
      </c>
      <c r="D109" s="3">
        <v>45701.0</v>
      </c>
      <c r="E109" s="1" t="s">
        <v>50</v>
      </c>
      <c r="F109" s="1" t="s">
        <v>47</v>
      </c>
      <c r="G109" s="1">
        <v>24897.87</v>
      </c>
      <c r="H109" s="1" t="s">
        <v>25</v>
      </c>
      <c r="I109" s="1">
        <v>1493.87</v>
      </c>
      <c r="J109" s="1">
        <f t="shared" si="1"/>
        <v>26391.74</v>
      </c>
      <c r="K109" s="1" t="b">
        <v>1</v>
      </c>
      <c r="L109" s="3">
        <v>45678.0</v>
      </c>
      <c r="M109" s="1">
        <v>26391.74</v>
      </c>
      <c r="N109" s="1" t="b">
        <f t="shared" si="2"/>
        <v>0</v>
      </c>
      <c r="O109" s="1" t="b">
        <f t="shared" si="3"/>
        <v>0</v>
      </c>
      <c r="P109" s="1" t="str">
        <f t="shared" si="4"/>
        <v>Bay Area Rentals|-26391.74</v>
      </c>
      <c r="Q109" s="1" t="str">
        <f t="shared" si="5"/>
        <v>Paid but No Bank Match</v>
      </c>
    </row>
    <row r="110">
      <c r="A110" s="1" t="s">
        <v>153</v>
      </c>
      <c r="B110" s="1" t="s">
        <v>59</v>
      </c>
      <c r="C110" s="3">
        <v>45801.0</v>
      </c>
      <c r="D110" s="3">
        <v>45831.0</v>
      </c>
      <c r="E110" s="1" t="s">
        <v>31</v>
      </c>
      <c r="F110" s="1" t="s">
        <v>47</v>
      </c>
      <c r="G110" s="1">
        <v>22923.73</v>
      </c>
      <c r="H110" s="1" t="s">
        <v>25</v>
      </c>
      <c r="I110" s="1">
        <v>1375.42</v>
      </c>
      <c r="J110" s="1">
        <f t="shared" si="1"/>
        <v>24299.59</v>
      </c>
      <c r="K110" s="1" t="b">
        <v>0</v>
      </c>
      <c r="L110" s="4"/>
      <c r="M110" s="1">
        <v>24299.15</v>
      </c>
      <c r="N110" s="1" t="b">
        <f t="shared" si="2"/>
        <v>1</v>
      </c>
      <c r="O110" s="1" t="b">
        <f t="shared" si="3"/>
        <v>1</v>
      </c>
      <c r="P110" s="1" t="str">
        <f t="shared" si="4"/>
        <v>Skyline Engineering|-24299.59</v>
      </c>
      <c r="Q110" s="1" t="str">
        <f t="shared" si="5"/>
        <v>Unpaid</v>
      </c>
    </row>
    <row r="111">
      <c r="A111" s="1" t="s">
        <v>154</v>
      </c>
      <c r="B111" s="1" t="s">
        <v>27</v>
      </c>
      <c r="C111" s="3">
        <v>45929.0</v>
      </c>
      <c r="D111" s="3">
        <v>45974.0</v>
      </c>
      <c r="E111" s="1" t="s">
        <v>37</v>
      </c>
      <c r="F111" s="1" t="s">
        <v>47</v>
      </c>
      <c r="G111" s="1">
        <v>11663.59</v>
      </c>
      <c r="H111" s="1" t="s">
        <v>25</v>
      </c>
      <c r="I111" s="1">
        <v>699.82</v>
      </c>
      <c r="J111" s="1">
        <f t="shared" si="1"/>
        <v>12363.41</v>
      </c>
      <c r="K111" s="1" t="b">
        <v>1</v>
      </c>
      <c r="L111" s="3">
        <v>45941.0</v>
      </c>
      <c r="M111" s="1">
        <v>12363.41</v>
      </c>
      <c r="N111" s="1" t="b">
        <f t="shared" si="2"/>
        <v>0</v>
      </c>
      <c r="O111" s="1" t="b">
        <f t="shared" si="3"/>
        <v>0</v>
      </c>
      <c r="P111" s="1" t="str">
        <f t="shared" si="4"/>
        <v>Sunline Electrical|-12363.41</v>
      </c>
      <c r="Q111" s="1" t="str">
        <f t="shared" si="5"/>
        <v>Paid but No Bank Match</v>
      </c>
    </row>
    <row r="112">
      <c r="A112" s="1" t="s">
        <v>155</v>
      </c>
      <c r="B112" s="1" t="s">
        <v>30</v>
      </c>
      <c r="C112" s="3">
        <v>45779.0</v>
      </c>
      <c r="D112" s="3">
        <v>45809.0</v>
      </c>
      <c r="E112" s="1" t="s">
        <v>54</v>
      </c>
      <c r="F112" s="1" t="s">
        <v>28</v>
      </c>
      <c r="G112" s="1">
        <v>11860.61</v>
      </c>
      <c r="H112" s="1" t="s">
        <v>45</v>
      </c>
      <c r="I112" s="1">
        <v>770.94</v>
      </c>
      <c r="J112" s="1">
        <f t="shared" si="1"/>
        <v>12631.55</v>
      </c>
      <c r="K112" s="1" t="b">
        <v>1</v>
      </c>
      <c r="L112" s="3">
        <v>45833.0</v>
      </c>
      <c r="M112" s="1">
        <v>12631.55</v>
      </c>
      <c r="N112" s="1" t="b">
        <f t="shared" si="2"/>
        <v>0</v>
      </c>
      <c r="O112" s="1" t="b">
        <f t="shared" si="3"/>
        <v>0</v>
      </c>
      <c r="P112" s="1" t="str">
        <f t="shared" si="4"/>
        <v>Tidal Contractors|-12631.55</v>
      </c>
      <c r="Q112" s="1" t="str">
        <f t="shared" si="5"/>
        <v>Paid but No Bank Match</v>
      </c>
    </row>
    <row r="113">
      <c r="A113" s="1" t="s">
        <v>156</v>
      </c>
      <c r="B113" s="1" t="s">
        <v>62</v>
      </c>
      <c r="C113" s="3">
        <v>45685.0</v>
      </c>
      <c r="D113" s="3">
        <v>45730.0</v>
      </c>
      <c r="E113" s="1" t="s">
        <v>19</v>
      </c>
      <c r="F113" s="1" t="s">
        <v>47</v>
      </c>
      <c r="G113" s="1">
        <v>24372.67</v>
      </c>
      <c r="H113" s="1" t="s">
        <v>45</v>
      </c>
      <c r="I113" s="1">
        <v>1584.22</v>
      </c>
      <c r="J113" s="1">
        <f t="shared" si="1"/>
        <v>25956.89</v>
      </c>
      <c r="K113" s="1" t="b">
        <v>0</v>
      </c>
      <c r="L113" s="4"/>
      <c r="M113" s="1">
        <v>25956.89</v>
      </c>
      <c r="N113" s="1" t="b">
        <f t="shared" si="2"/>
        <v>0</v>
      </c>
      <c r="O113" s="1" t="b">
        <f t="shared" si="3"/>
        <v>1</v>
      </c>
      <c r="P113" s="1" t="str">
        <f t="shared" si="4"/>
        <v>Bay Area Rentals|-25956.89</v>
      </c>
      <c r="Q113" s="1" t="str">
        <f t="shared" si="5"/>
        <v>Unpaid</v>
      </c>
    </row>
    <row r="114">
      <c r="A114" s="1" t="s">
        <v>157</v>
      </c>
      <c r="B114" s="1" t="s">
        <v>18</v>
      </c>
      <c r="C114" s="3">
        <v>45802.0</v>
      </c>
      <c r="D114" s="3">
        <v>45847.0</v>
      </c>
      <c r="E114" s="1" t="s">
        <v>50</v>
      </c>
      <c r="F114" s="1" t="s">
        <v>47</v>
      </c>
      <c r="G114" s="1">
        <v>10574.56</v>
      </c>
      <c r="H114" s="1" t="s">
        <v>21</v>
      </c>
      <c r="I114" s="1">
        <v>740.22</v>
      </c>
      <c r="J114" s="1">
        <f t="shared" si="1"/>
        <v>11314.78</v>
      </c>
      <c r="K114" s="1" t="b">
        <v>1</v>
      </c>
      <c r="L114" s="3">
        <v>45835.0</v>
      </c>
      <c r="M114" s="1">
        <v>11314.78</v>
      </c>
      <c r="N114" s="1" t="b">
        <f t="shared" si="2"/>
        <v>0</v>
      </c>
      <c r="O114" s="1" t="b">
        <f t="shared" si="3"/>
        <v>0</v>
      </c>
      <c r="P114" s="1" t="str">
        <f t="shared" si="4"/>
        <v>Tri-County Services|-11314.78</v>
      </c>
      <c r="Q114" s="1" t="str">
        <f t="shared" si="5"/>
        <v>Paid but No Bank Match</v>
      </c>
    </row>
    <row r="115">
      <c r="A115" s="1" t="s">
        <v>158</v>
      </c>
      <c r="B115" s="1" t="s">
        <v>59</v>
      </c>
      <c r="C115" s="3">
        <v>45703.0</v>
      </c>
      <c r="D115" s="3">
        <v>45733.0</v>
      </c>
      <c r="E115" s="1" t="s">
        <v>54</v>
      </c>
      <c r="F115" s="1" t="s">
        <v>24</v>
      </c>
      <c r="G115" s="1">
        <v>23543.03</v>
      </c>
      <c r="H115" s="1" t="s">
        <v>34</v>
      </c>
      <c r="I115" s="1">
        <v>1765.73</v>
      </c>
      <c r="J115" s="1">
        <f t="shared" si="1"/>
        <v>25308.76</v>
      </c>
      <c r="K115" s="1" t="b">
        <v>1</v>
      </c>
      <c r="L115" s="3">
        <v>45754.0</v>
      </c>
      <c r="M115" s="1">
        <v>25308.76</v>
      </c>
      <c r="N115" s="1" t="b">
        <f t="shared" si="2"/>
        <v>0</v>
      </c>
      <c r="O115" s="1" t="b">
        <f t="shared" si="3"/>
        <v>0</v>
      </c>
      <c r="P115" s="1" t="str">
        <f t="shared" si="4"/>
        <v>Skyline Engineering|-25308.76</v>
      </c>
      <c r="Q115" s="1" t="str">
        <f t="shared" si="5"/>
        <v>Paid but No Bank Match</v>
      </c>
    </row>
    <row r="116">
      <c r="A116" s="1" t="s">
        <v>159</v>
      </c>
      <c r="B116" s="1" t="s">
        <v>18</v>
      </c>
      <c r="C116" s="3">
        <v>45667.0</v>
      </c>
      <c r="D116" s="3">
        <v>45712.0</v>
      </c>
      <c r="E116" s="1" t="s">
        <v>50</v>
      </c>
      <c r="F116" s="1" t="s">
        <v>51</v>
      </c>
      <c r="G116" s="1">
        <v>21718.57</v>
      </c>
      <c r="H116" s="1" t="s">
        <v>21</v>
      </c>
      <c r="I116" s="1">
        <v>1520.3</v>
      </c>
      <c r="J116" s="1">
        <f t="shared" si="1"/>
        <v>23238.87</v>
      </c>
      <c r="K116" s="1" t="b">
        <v>1</v>
      </c>
      <c r="L116" s="3">
        <v>45704.0</v>
      </c>
      <c r="M116" s="1">
        <v>23238.87</v>
      </c>
      <c r="N116" s="1" t="b">
        <f t="shared" si="2"/>
        <v>0</v>
      </c>
      <c r="O116" s="1" t="b">
        <f t="shared" si="3"/>
        <v>0</v>
      </c>
      <c r="P116" s="1" t="str">
        <f t="shared" si="4"/>
        <v>Tri-County Services|-23238.87</v>
      </c>
      <c r="Q116" s="1" t="str">
        <f t="shared" si="5"/>
        <v>Paid but No Bank Match</v>
      </c>
    </row>
    <row r="117">
      <c r="A117" s="1" t="s">
        <v>160</v>
      </c>
      <c r="B117" s="1" t="s">
        <v>27</v>
      </c>
      <c r="C117" s="3">
        <v>45722.0</v>
      </c>
      <c r="D117" s="3">
        <v>45767.0</v>
      </c>
      <c r="E117" s="1" t="s">
        <v>54</v>
      </c>
      <c r="F117" s="1" t="s">
        <v>20</v>
      </c>
      <c r="G117" s="1">
        <v>24639.51</v>
      </c>
      <c r="H117" s="1" t="s">
        <v>21</v>
      </c>
      <c r="I117" s="1">
        <v>1724.77</v>
      </c>
      <c r="J117" s="1">
        <f t="shared" si="1"/>
        <v>26364.28</v>
      </c>
      <c r="K117" s="1" t="b">
        <v>1</v>
      </c>
      <c r="L117" s="3">
        <v>45752.0</v>
      </c>
      <c r="M117" s="1">
        <v>26364.28</v>
      </c>
      <c r="N117" s="1" t="b">
        <f t="shared" si="2"/>
        <v>0</v>
      </c>
      <c r="O117" s="1" t="b">
        <f t="shared" si="3"/>
        <v>0</v>
      </c>
      <c r="P117" s="1" t="str">
        <f t="shared" si="4"/>
        <v>Sunline Electrical|-26364.28</v>
      </c>
      <c r="Q117" s="1" t="str">
        <f t="shared" si="5"/>
        <v>Paid but No Bank Match</v>
      </c>
    </row>
    <row r="118">
      <c r="A118" s="1" t="s">
        <v>161</v>
      </c>
      <c r="B118" s="1" t="s">
        <v>49</v>
      </c>
      <c r="C118" s="3">
        <v>45720.0</v>
      </c>
      <c r="D118" s="3">
        <v>45765.0</v>
      </c>
      <c r="E118" s="1" t="s">
        <v>37</v>
      </c>
      <c r="F118" s="1" t="s">
        <v>47</v>
      </c>
      <c r="G118" s="1">
        <v>20814.52</v>
      </c>
      <c r="H118" s="1" t="s">
        <v>45</v>
      </c>
      <c r="I118" s="1">
        <v>1352.94</v>
      </c>
      <c r="J118" s="1">
        <f t="shared" si="1"/>
        <v>22167.46</v>
      </c>
      <c r="K118" s="1" t="b">
        <v>1</v>
      </c>
      <c r="L118" s="3">
        <v>45757.0</v>
      </c>
      <c r="M118" s="1">
        <v>22167.46</v>
      </c>
      <c r="N118" s="1" t="b">
        <f t="shared" si="2"/>
        <v>0</v>
      </c>
      <c r="O118" s="1" t="b">
        <f t="shared" si="3"/>
        <v>0</v>
      </c>
      <c r="P118" s="1" t="str">
        <f t="shared" si="4"/>
        <v>Sunshine Equipment|-22167.46</v>
      </c>
      <c r="Q118" s="1" t="str">
        <f t="shared" si="5"/>
        <v>Paid but No Bank Match</v>
      </c>
    </row>
    <row r="119">
      <c r="A119" s="1" t="s">
        <v>162</v>
      </c>
      <c r="B119" s="1" t="s">
        <v>62</v>
      </c>
      <c r="C119" s="3">
        <v>45755.0</v>
      </c>
      <c r="D119" s="3">
        <v>45800.0</v>
      </c>
      <c r="E119" s="1" t="s">
        <v>19</v>
      </c>
      <c r="F119" s="1" t="s">
        <v>47</v>
      </c>
      <c r="G119" s="1">
        <v>3779.38</v>
      </c>
      <c r="H119" s="1" t="s">
        <v>34</v>
      </c>
      <c r="I119" s="1">
        <v>283.45</v>
      </c>
      <c r="J119" s="1">
        <f t="shared" si="1"/>
        <v>4061.77</v>
      </c>
      <c r="K119" s="1" t="b">
        <v>1</v>
      </c>
      <c r="L119" s="3">
        <v>45814.0</v>
      </c>
      <c r="M119" s="1">
        <v>4062.83</v>
      </c>
      <c r="N119" s="1" t="b">
        <f t="shared" si="2"/>
        <v>1</v>
      </c>
      <c r="O119" s="1" t="b">
        <f t="shared" si="3"/>
        <v>0</v>
      </c>
      <c r="P119" s="1" t="str">
        <f t="shared" si="4"/>
        <v>Bay Area Rentals|-4061.77</v>
      </c>
      <c r="Q119" s="1" t="str">
        <f t="shared" si="5"/>
        <v>Paid but No Bank Match</v>
      </c>
    </row>
    <row r="120">
      <c r="A120" s="1" t="s">
        <v>163</v>
      </c>
      <c r="B120" s="1" t="s">
        <v>42</v>
      </c>
      <c r="C120" s="3">
        <v>45663.0</v>
      </c>
      <c r="D120" s="3">
        <v>45693.0</v>
      </c>
      <c r="E120" s="1" t="s">
        <v>37</v>
      </c>
      <c r="F120" s="1" t="s">
        <v>28</v>
      </c>
      <c r="G120" s="1">
        <v>13591.48</v>
      </c>
      <c r="H120" s="1" t="s">
        <v>34</v>
      </c>
      <c r="I120" s="1">
        <v>1019.36</v>
      </c>
      <c r="J120" s="1">
        <f t="shared" si="1"/>
        <v>14610.84</v>
      </c>
      <c r="K120" s="1" t="b">
        <v>1</v>
      </c>
      <c r="L120" s="3">
        <v>45670.0</v>
      </c>
      <c r="M120" s="1">
        <v>14610.84</v>
      </c>
      <c r="N120" s="1" t="b">
        <f t="shared" si="2"/>
        <v>0</v>
      </c>
      <c r="O120" s="1" t="b">
        <f t="shared" si="3"/>
        <v>0</v>
      </c>
      <c r="P120" s="1" t="str">
        <f t="shared" si="4"/>
        <v>BrightPower Partners|-14610.84</v>
      </c>
      <c r="Q120" s="1" t="str">
        <f t="shared" si="5"/>
        <v>Paid but No Bank Match</v>
      </c>
    </row>
    <row r="121">
      <c r="A121" s="1" t="s">
        <v>164</v>
      </c>
      <c r="B121" s="1" t="s">
        <v>18</v>
      </c>
      <c r="C121" s="3">
        <v>45680.0</v>
      </c>
      <c r="D121" s="3">
        <v>45710.0</v>
      </c>
      <c r="E121" s="1" t="s">
        <v>19</v>
      </c>
      <c r="F121" s="1" t="s">
        <v>28</v>
      </c>
      <c r="G121" s="1">
        <v>23646.76</v>
      </c>
      <c r="H121" s="1" t="s">
        <v>21</v>
      </c>
      <c r="I121" s="1">
        <v>1655.27</v>
      </c>
      <c r="J121" s="1">
        <f t="shared" si="1"/>
        <v>25302.03</v>
      </c>
      <c r="K121" s="1" t="b">
        <v>1</v>
      </c>
      <c r="L121" s="3">
        <v>45701.0</v>
      </c>
      <c r="M121" s="1">
        <v>25302.03</v>
      </c>
      <c r="N121" s="1" t="b">
        <f t="shared" si="2"/>
        <v>0</v>
      </c>
      <c r="O121" s="1" t="b">
        <f t="shared" si="3"/>
        <v>0</v>
      </c>
      <c r="P121" s="1" t="str">
        <f t="shared" si="4"/>
        <v>Tri-County Services|-25302.03</v>
      </c>
      <c r="Q121" s="1" t="str">
        <f t="shared" si="5"/>
        <v>Paid but No Bank Match</v>
      </c>
    </row>
    <row r="122">
      <c r="A122" s="1" t="s">
        <v>165</v>
      </c>
      <c r="B122" s="1" t="s">
        <v>27</v>
      </c>
      <c r="C122" s="3">
        <v>45742.0</v>
      </c>
      <c r="D122" s="3">
        <v>45772.0</v>
      </c>
      <c r="E122" s="1" t="s">
        <v>50</v>
      </c>
      <c r="F122" s="1" t="s">
        <v>28</v>
      </c>
      <c r="G122" s="1">
        <v>3664.41</v>
      </c>
      <c r="H122" s="1" t="s">
        <v>25</v>
      </c>
      <c r="I122" s="1">
        <v>219.86</v>
      </c>
      <c r="J122" s="1">
        <f t="shared" si="1"/>
        <v>3884.27</v>
      </c>
      <c r="K122" s="1" t="b">
        <v>0</v>
      </c>
      <c r="L122" s="4"/>
      <c r="M122" s="1">
        <v>3884.27</v>
      </c>
      <c r="N122" s="1" t="b">
        <f t="shared" si="2"/>
        <v>0</v>
      </c>
      <c r="O122" s="1" t="b">
        <f t="shared" si="3"/>
        <v>1</v>
      </c>
      <c r="P122" s="1" t="str">
        <f t="shared" si="4"/>
        <v>Sunline Electrical|-3884.27</v>
      </c>
      <c r="Q122" s="1" t="str">
        <f t="shared" si="5"/>
        <v>Unpaid</v>
      </c>
    </row>
    <row r="123">
      <c r="A123" s="1" t="s">
        <v>166</v>
      </c>
      <c r="B123" s="1" t="s">
        <v>18</v>
      </c>
      <c r="C123" s="3">
        <v>45862.0</v>
      </c>
      <c r="D123" s="3">
        <v>45892.0</v>
      </c>
      <c r="E123" s="1" t="s">
        <v>31</v>
      </c>
      <c r="F123" s="1" t="s">
        <v>28</v>
      </c>
      <c r="G123" s="1">
        <v>22016.41</v>
      </c>
      <c r="H123" s="1" t="s">
        <v>25</v>
      </c>
      <c r="I123" s="1">
        <v>0.0</v>
      </c>
      <c r="J123" s="1">
        <f t="shared" si="1"/>
        <v>22014.91</v>
      </c>
      <c r="K123" s="1" t="b">
        <v>1</v>
      </c>
      <c r="L123" s="3">
        <v>45900.0</v>
      </c>
      <c r="M123" s="1">
        <v>22016.41</v>
      </c>
      <c r="N123" s="1" t="b">
        <f t="shared" si="2"/>
        <v>1</v>
      </c>
      <c r="O123" s="1" t="b">
        <f t="shared" si="3"/>
        <v>0</v>
      </c>
      <c r="P123" s="1" t="str">
        <f t="shared" si="4"/>
        <v>Tri-County Services|-22014.91</v>
      </c>
      <c r="Q123" s="1" t="str">
        <f t="shared" si="5"/>
        <v>Paid but No Bank Match</v>
      </c>
    </row>
    <row r="124">
      <c r="A124" s="1" t="s">
        <v>167</v>
      </c>
      <c r="B124" s="1" t="s">
        <v>42</v>
      </c>
      <c r="C124" s="3">
        <v>46005.0</v>
      </c>
      <c r="D124" s="3">
        <v>46050.0</v>
      </c>
      <c r="E124" s="1" t="s">
        <v>37</v>
      </c>
      <c r="F124" s="1" t="s">
        <v>28</v>
      </c>
      <c r="G124" s="1">
        <v>1043.53</v>
      </c>
      <c r="H124" s="1" t="s">
        <v>34</v>
      </c>
      <c r="I124" s="1">
        <v>78.26</v>
      </c>
      <c r="J124" s="1">
        <f t="shared" si="1"/>
        <v>1121.47</v>
      </c>
      <c r="K124" s="1" t="b">
        <v>0</v>
      </c>
      <c r="L124" s="4"/>
      <c r="M124" s="1">
        <v>1121.79</v>
      </c>
      <c r="N124" s="1" t="b">
        <f t="shared" si="2"/>
        <v>1</v>
      </c>
      <c r="O124" s="1" t="b">
        <f t="shared" si="3"/>
        <v>1</v>
      </c>
      <c r="P124" s="1" t="str">
        <f t="shared" si="4"/>
        <v>BrightPower Partners|-1121.47</v>
      </c>
      <c r="Q124" s="1" t="str">
        <f t="shared" si="5"/>
        <v>Unpaid</v>
      </c>
    </row>
    <row r="125">
      <c r="A125" s="1" t="s">
        <v>168</v>
      </c>
      <c r="B125" s="1" t="s">
        <v>36</v>
      </c>
      <c r="C125" s="3">
        <v>45775.0</v>
      </c>
      <c r="D125" s="3">
        <v>45820.0</v>
      </c>
      <c r="E125" s="1" t="s">
        <v>19</v>
      </c>
      <c r="F125" s="1" t="s">
        <v>24</v>
      </c>
      <c r="G125" s="1">
        <v>8040.54</v>
      </c>
      <c r="H125" s="1" t="s">
        <v>45</v>
      </c>
      <c r="I125" s="1">
        <v>522.64</v>
      </c>
      <c r="J125" s="1">
        <f t="shared" si="1"/>
        <v>8561.68</v>
      </c>
      <c r="K125" s="1" t="b">
        <v>1</v>
      </c>
      <c r="L125" s="3">
        <v>45784.0</v>
      </c>
      <c r="M125" s="1">
        <v>8563.18</v>
      </c>
      <c r="N125" s="1" t="b">
        <f t="shared" si="2"/>
        <v>1</v>
      </c>
      <c r="O125" s="1" t="b">
        <f t="shared" si="3"/>
        <v>0</v>
      </c>
      <c r="P125" s="1" t="str">
        <f t="shared" si="4"/>
        <v>Tampa Grid Services|-8561.68</v>
      </c>
      <c r="Q125" s="1" t="str">
        <f t="shared" si="5"/>
        <v>Paid but No Bank Match</v>
      </c>
    </row>
    <row r="126">
      <c r="A126" s="1" t="s">
        <v>169</v>
      </c>
      <c r="B126" s="1" t="s">
        <v>59</v>
      </c>
      <c r="C126" s="3">
        <v>45879.0</v>
      </c>
      <c r="D126" s="3">
        <v>45924.0</v>
      </c>
      <c r="E126" s="1" t="s">
        <v>54</v>
      </c>
      <c r="F126" s="1" t="s">
        <v>28</v>
      </c>
      <c r="G126" s="1">
        <v>14953.92</v>
      </c>
      <c r="H126" s="1" t="s">
        <v>34</v>
      </c>
      <c r="I126" s="1">
        <v>1121.54</v>
      </c>
      <c r="J126" s="1">
        <f t="shared" si="1"/>
        <v>16075.46</v>
      </c>
      <c r="K126" s="1" t="b">
        <v>1</v>
      </c>
      <c r="L126" s="3">
        <v>45906.0</v>
      </c>
      <c r="M126" s="1">
        <v>16075.46</v>
      </c>
      <c r="N126" s="1" t="b">
        <f t="shared" si="2"/>
        <v>0</v>
      </c>
      <c r="O126" s="1" t="b">
        <f t="shared" si="3"/>
        <v>0</v>
      </c>
      <c r="P126" s="1" t="str">
        <f t="shared" si="4"/>
        <v>Skyline Engineering|-16075.46</v>
      </c>
      <c r="Q126" s="1" t="str">
        <f t="shared" si="5"/>
        <v>Paid but No Bank Match</v>
      </c>
    </row>
    <row r="127">
      <c r="A127" s="1" t="s">
        <v>170</v>
      </c>
      <c r="B127" s="1" t="s">
        <v>59</v>
      </c>
      <c r="C127" s="3">
        <v>45864.0</v>
      </c>
      <c r="D127" s="3">
        <v>45894.0</v>
      </c>
      <c r="E127" s="1" t="s">
        <v>19</v>
      </c>
      <c r="F127" s="1" t="s">
        <v>20</v>
      </c>
      <c r="G127" s="1">
        <v>16164.35</v>
      </c>
      <c r="H127" s="1" t="s">
        <v>34</v>
      </c>
      <c r="I127" s="1">
        <v>1212.33</v>
      </c>
      <c r="J127" s="1">
        <f t="shared" si="1"/>
        <v>17376.68</v>
      </c>
      <c r="K127" s="1" t="b">
        <v>1</v>
      </c>
      <c r="L127" s="3">
        <v>45906.0</v>
      </c>
      <c r="M127" s="1">
        <v>17376.68</v>
      </c>
      <c r="N127" s="1" t="b">
        <f t="shared" si="2"/>
        <v>0</v>
      </c>
      <c r="O127" s="1" t="b">
        <f t="shared" si="3"/>
        <v>0</v>
      </c>
      <c r="P127" s="1" t="str">
        <f t="shared" si="4"/>
        <v>Skyline Engineering|-17376.68</v>
      </c>
      <c r="Q127" s="1" t="str">
        <f t="shared" si="5"/>
        <v>Paid but No Bank Match</v>
      </c>
    </row>
    <row r="128">
      <c r="A128" s="1" t="s">
        <v>171</v>
      </c>
      <c r="B128" s="1" t="s">
        <v>59</v>
      </c>
      <c r="C128" s="3">
        <v>45849.0</v>
      </c>
      <c r="D128" s="3">
        <v>45879.0</v>
      </c>
      <c r="E128" s="1" t="s">
        <v>37</v>
      </c>
      <c r="F128" s="1" t="s">
        <v>47</v>
      </c>
      <c r="G128" s="1">
        <v>9089.4</v>
      </c>
      <c r="H128" s="1" t="s">
        <v>45</v>
      </c>
      <c r="I128" s="1">
        <v>590.81</v>
      </c>
      <c r="J128" s="1">
        <f t="shared" si="1"/>
        <v>9680.21</v>
      </c>
      <c r="K128" s="1" t="b">
        <v>1</v>
      </c>
      <c r="L128" s="3">
        <v>45883.0</v>
      </c>
      <c r="M128" s="1">
        <v>9680.21</v>
      </c>
      <c r="N128" s="1" t="b">
        <f t="shared" si="2"/>
        <v>0</v>
      </c>
      <c r="O128" s="1" t="b">
        <f t="shared" si="3"/>
        <v>0</v>
      </c>
      <c r="P128" s="1" t="str">
        <f t="shared" si="4"/>
        <v>Skyline Engineering|-9680.21</v>
      </c>
      <c r="Q128" s="1" t="str">
        <f t="shared" si="5"/>
        <v>Paid but No Bank Match</v>
      </c>
    </row>
    <row r="129">
      <c r="A129" s="1" t="s">
        <v>172</v>
      </c>
      <c r="B129" s="1" t="s">
        <v>40</v>
      </c>
      <c r="C129" s="3">
        <v>45992.0</v>
      </c>
      <c r="D129" s="3">
        <v>46037.0</v>
      </c>
      <c r="E129" s="1" t="s">
        <v>19</v>
      </c>
      <c r="F129" s="1" t="s">
        <v>47</v>
      </c>
      <c r="G129" s="1">
        <v>22651.89</v>
      </c>
      <c r="H129" s="1" t="s">
        <v>25</v>
      </c>
      <c r="I129" s="1">
        <v>1359.11</v>
      </c>
      <c r="J129" s="1">
        <f t="shared" si="1"/>
        <v>24011</v>
      </c>
      <c r="K129" s="1" t="b">
        <v>0</v>
      </c>
      <c r="L129" s="4"/>
      <c r="M129" s="1">
        <v>24011.0</v>
      </c>
      <c r="N129" s="1" t="b">
        <f t="shared" si="2"/>
        <v>0</v>
      </c>
      <c r="O129" s="1" t="b">
        <f t="shared" si="3"/>
        <v>1</v>
      </c>
      <c r="P129" s="1" t="str">
        <f t="shared" si="4"/>
        <v>Gulf Coast Telecom|-24011</v>
      </c>
      <c r="Q129" s="1" t="str">
        <f t="shared" si="5"/>
        <v>Unpaid</v>
      </c>
    </row>
    <row r="130">
      <c r="A130" s="1" t="s">
        <v>173</v>
      </c>
      <c r="B130" s="1" t="s">
        <v>40</v>
      </c>
      <c r="C130" s="3">
        <v>45992.0</v>
      </c>
      <c r="D130" s="3">
        <v>46037.0</v>
      </c>
      <c r="E130" s="1" t="s">
        <v>37</v>
      </c>
      <c r="F130" s="1" t="s">
        <v>47</v>
      </c>
      <c r="G130" s="1">
        <v>15741.12</v>
      </c>
      <c r="H130" s="1" t="s">
        <v>21</v>
      </c>
      <c r="I130" s="1">
        <v>1101.88</v>
      </c>
      <c r="J130" s="1">
        <f t="shared" si="1"/>
        <v>16843.3</v>
      </c>
      <c r="K130" s="1" t="b">
        <v>0</v>
      </c>
      <c r="L130" s="4"/>
      <c r="M130" s="1">
        <v>16843.0</v>
      </c>
      <c r="N130" s="1" t="b">
        <f t="shared" si="2"/>
        <v>1</v>
      </c>
      <c r="O130" s="1" t="b">
        <f t="shared" si="3"/>
        <v>1</v>
      </c>
      <c r="P130" s="1" t="str">
        <f t="shared" si="4"/>
        <v>Gulf Coast Telecom|-16843.3</v>
      </c>
      <c r="Q130" s="1" t="str">
        <f t="shared" si="5"/>
        <v>Unpaid</v>
      </c>
    </row>
    <row r="131">
      <c r="A131" s="1" t="s">
        <v>174</v>
      </c>
      <c r="B131" s="1" t="s">
        <v>62</v>
      </c>
      <c r="C131" s="3">
        <v>45790.0</v>
      </c>
      <c r="D131" s="3">
        <v>45820.0</v>
      </c>
      <c r="E131" s="1" t="s">
        <v>31</v>
      </c>
      <c r="F131" s="1" t="s">
        <v>20</v>
      </c>
      <c r="G131" s="1">
        <v>11754.0</v>
      </c>
      <c r="H131" s="1" t="s">
        <v>25</v>
      </c>
      <c r="I131" s="1">
        <v>705.24</v>
      </c>
      <c r="J131" s="1">
        <f t="shared" si="1"/>
        <v>12460.5</v>
      </c>
      <c r="K131" s="1" t="b">
        <v>1</v>
      </c>
      <c r="L131" s="3">
        <v>45811.0</v>
      </c>
      <c r="M131" s="1">
        <v>12459.24</v>
      </c>
      <c r="N131" s="1" t="b">
        <f t="shared" si="2"/>
        <v>1</v>
      </c>
      <c r="O131" s="1" t="b">
        <f t="shared" si="3"/>
        <v>0</v>
      </c>
      <c r="P131" s="1" t="str">
        <f t="shared" si="4"/>
        <v>Bay Area Rentals|-12460.5</v>
      </c>
      <c r="Q131" s="1" t="str">
        <f t="shared" si="5"/>
        <v>Paid but No Bank Match</v>
      </c>
    </row>
    <row r="132">
      <c r="A132" s="1" t="s">
        <v>175</v>
      </c>
      <c r="B132" s="1" t="s">
        <v>49</v>
      </c>
      <c r="C132" s="3">
        <v>45997.0</v>
      </c>
      <c r="D132" s="3">
        <v>46042.0</v>
      </c>
      <c r="E132" s="1" t="s">
        <v>31</v>
      </c>
      <c r="F132" s="1" t="s">
        <v>20</v>
      </c>
      <c r="G132" s="1">
        <v>24510.8</v>
      </c>
      <c r="H132" s="1" t="s">
        <v>45</v>
      </c>
      <c r="I132" s="1">
        <v>1593.2</v>
      </c>
      <c r="J132" s="1">
        <f t="shared" si="1"/>
        <v>26104</v>
      </c>
      <c r="K132" s="1" t="b">
        <v>0</v>
      </c>
      <c r="L132" s="4"/>
      <c r="M132" s="1">
        <v>26104.0</v>
      </c>
      <c r="N132" s="1" t="b">
        <f t="shared" si="2"/>
        <v>0</v>
      </c>
      <c r="O132" s="1" t="b">
        <f t="shared" si="3"/>
        <v>1</v>
      </c>
      <c r="P132" s="1" t="str">
        <f t="shared" si="4"/>
        <v>Sunshine Equipment|-26104</v>
      </c>
      <c r="Q132" s="1" t="str">
        <f t="shared" si="5"/>
        <v>Unpaid</v>
      </c>
    </row>
    <row r="133">
      <c r="A133" s="1" t="s">
        <v>176</v>
      </c>
      <c r="B133" s="1" t="s">
        <v>23</v>
      </c>
      <c r="C133" s="3">
        <v>45897.0</v>
      </c>
      <c r="D133" s="3">
        <v>45927.0</v>
      </c>
      <c r="E133" s="1" t="s">
        <v>37</v>
      </c>
      <c r="F133" s="1" t="s">
        <v>47</v>
      </c>
      <c r="G133" s="1">
        <v>13662.95</v>
      </c>
      <c r="H133" s="1" t="s">
        <v>21</v>
      </c>
      <c r="I133" s="1">
        <v>956.41</v>
      </c>
      <c r="J133" s="1">
        <f t="shared" si="1"/>
        <v>14619.36</v>
      </c>
      <c r="K133" s="1" t="b">
        <v>1</v>
      </c>
      <c r="L133" s="3">
        <v>45917.0</v>
      </c>
      <c r="M133" s="1">
        <v>14619.36</v>
      </c>
      <c r="N133" s="1" t="b">
        <f t="shared" si="2"/>
        <v>0</v>
      </c>
      <c r="O133" s="1" t="b">
        <f t="shared" si="3"/>
        <v>0</v>
      </c>
      <c r="P133" s="1" t="str">
        <f t="shared" si="4"/>
        <v>Atlantic Fiber Co|-14619.36</v>
      </c>
      <c r="Q133" s="1" t="str">
        <f t="shared" si="5"/>
        <v>Paid but No Bank Match</v>
      </c>
    </row>
    <row r="134">
      <c r="A134" s="1" t="s">
        <v>177</v>
      </c>
      <c r="B134" s="1" t="s">
        <v>49</v>
      </c>
      <c r="C134" s="3">
        <v>45665.0</v>
      </c>
      <c r="D134" s="3">
        <v>45710.0</v>
      </c>
      <c r="E134" s="1" t="s">
        <v>37</v>
      </c>
      <c r="F134" s="1" t="s">
        <v>24</v>
      </c>
      <c r="G134" s="1">
        <v>17564.29</v>
      </c>
      <c r="H134" s="1" t="s">
        <v>25</v>
      </c>
      <c r="I134" s="1">
        <v>1053.86</v>
      </c>
      <c r="J134" s="1">
        <f t="shared" si="1"/>
        <v>18618.15</v>
      </c>
      <c r="K134" s="1" t="b">
        <v>1</v>
      </c>
      <c r="L134" s="3">
        <v>45696.0</v>
      </c>
      <c r="M134" s="1">
        <v>18618.15</v>
      </c>
      <c r="N134" s="1" t="b">
        <f t="shared" si="2"/>
        <v>0</v>
      </c>
      <c r="O134" s="1" t="b">
        <f t="shared" si="3"/>
        <v>0</v>
      </c>
      <c r="P134" s="1" t="str">
        <f t="shared" si="4"/>
        <v>Sunshine Equipment|-18618.15</v>
      </c>
      <c r="Q134" s="1" t="str">
        <f t="shared" si="5"/>
        <v>Paid but No Bank Match</v>
      </c>
    </row>
    <row r="135">
      <c r="A135" s="1" t="s">
        <v>178</v>
      </c>
      <c r="B135" s="1" t="s">
        <v>57</v>
      </c>
      <c r="C135" s="3">
        <v>45750.0</v>
      </c>
      <c r="D135" s="3">
        <v>45780.0</v>
      </c>
      <c r="E135" s="1" t="s">
        <v>54</v>
      </c>
      <c r="F135" s="1" t="s">
        <v>32</v>
      </c>
      <c r="G135" s="1">
        <v>15247.42</v>
      </c>
      <c r="H135" s="1" t="s">
        <v>45</v>
      </c>
      <c r="I135" s="1">
        <v>991.08</v>
      </c>
      <c r="J135" s="1">
        <f t="shared" si="1"/>
        <v>16238.5</v>
      </c>
      <c r="K135" s="1" t="b">
        <v>1</v>
      </c>
      <c r="L135" s="3">
        <v>45775.0</v>
      </c>
      <c r="M135" s="1">
        <v>16238.5</v>
      </c>
      <c r="N135" s="1" t="b">
        <f t="shared" si="2"/>
        <v>0</v>
      </c>
      <c r="O135" s="1" t="b">
        <f t="shared" si="3"/>
        <v>0</v>
      </c>
      <c r="P135" s="1" t="str">
        <f t="shared" si="4"/>
        <v>Florida Line Crew LLC|-16238.5</v>
      </c>
      <c r="Q135" s="1" t="str">
        <f t="shared" si="5"/>
        <v>Paid but No Bank Match</v>
      </c>
    </row>
    <row r="136">
      <c r="A136" s="1" t="s">
        <v>179</v>
      </c>
      <c r="B136" s="1" t="s">
        <v>90</v>
      </c>
      <c r="C136" s="3">
        <v>45662.0</v>
      </c>
      <c r="D136" s="3">
        <v>45707.0</v>
      </c>
      <c r="E136" s="1" t="s">
        <v>37</v>
      </c>
      <c r="F136" s="1" t="s">
        <v>20</v>
      </c>
      <c r="G136" s="1">
        <v>9016.67</v>
      </c>
      <c r="H136" s="1" t="s">
        <v>34</v>
      </c>
      <c r="I136" s="1">
        <v>676.25</v>
      </c>
      <c r="J136" s="1">
        <f t="shared" si="1"/>
        <v>9692.92</v>
      </c>
      <c r="K136" s="1" t="b">
        <v>1</v>
      </c>
      <c r="L136" s="3">
        <v>45667.0</v>
      </c>
      <c r="M136" s="1">
        <v>9692.92</v>
      </c>
      <c r="N136" s="1" t="b">
        <f t="shared" si="2"/>
        <v>0</v>
      </c>
      <c r="O136" s="1" t="b">
        <f t="shared" si="3"/>
        <v>0</v>
      </c>
      <c r="P136" s="1" t="str">
        <f t="shared" si="4"/>
        <v>Peak Materials Supply|-9692.92</v>
      </c>
      <c r="Q136" s="1" t="str">
        <f t="shared" si="5"/>
        <v>Paid but No Bank Match</v>
      </c>
    </row>
    <row r="137">
      <c r="A137" s="1" t="s">
        <v>180</v>
      </c>
      <c r="B137" s="1" t="s">
        <v>30</v>
      </c>
      <c r="C137" s="3">
        <v>45790.0</v>
      </c>
      <c r="D137" s="3">
        <v>45820.0</v>
      </c>
      <c r="E137" s="1" t="s">
        <v>19</v>
      </c>
      <c r="F137" s="1" t="s">
        <v>28</v>
      </c>
      <c r="G137" s="1">
        <v>5555.18</v>
      </c>
      <c r="H137" s="1" t="s">
        <v>25</v>
      </c>
      <c r="I137" s="1">
        <v>333.31</v>
      </c>
      <c r="J137" s="1">
        <f t="shared" si="1"/>
        <v>5888.49</v>
      </c>
      <c r="K137" s="1" t="b">
        <v>1</v>
      </c>
      <c r="L137" s="3">
        <v>45839.0</v>
      </c>
      <c r="M137" s="1">
        <v>5888.49</v>
      </c>
      <c r="N137" s="1" t="b">
        <f t="shared" si="2"/>
        <v>0</v>
      </c>
      <c r="O137" s="1" t="b">
        <f t="shared" si="3"/>
        <v>0</v>
      </c>
      <c r="P137" s="1" t="str">
        <f t="shared" si="4"/>
        <v>Tidal Contractors|-5888.49</v>
      </c>
      <c r="Q137" s="1" t="str">
        <f t="shared" si="5"/>
        <v>Paid but No Bank Match</v>
      </c>
    </row>
    <row r="138">
      <c r="A138" s="1" t="s">
        <v>181</v>
      </c>
      <c r="B138" s="1" t="s">
        <v>49</v>
      </c>
      <c r="C138" s="3">
        <v>45730.0</v>
      </c>
      <c r="D138" s="3">
        <v>45760.0</v>
      </c>
      <c r="E138" s="1" t="s">
        <v>54</v>
      </c>
      <c r="F138" s="1" t="s">
        <v>47</v>
      </c>
      <c r="G138" s="1">
        <v>12288.06</v>
      </c>
      <c r="H138" s="1" t="s">
        <v>25</v>
      </c>
      <c r="I138" s="1">
        <v>737.28</v>
      </c>
      <c r="J138" s="1">
        <f t="shared" si="1"/>
        <v>13025.31</v>
      </c>
      <c r="K138" s="1" t="b">
        <v>1</v>
      </c>
      <c r="L138" s="3">
        <v>45790.0</v>
      </c>
      <c r="M138" s="1">
        <v>13025.34</v>
      </c>
      <c r="N138" s="1" t="b">
        <f t="shared" si="2"/>
        <v>1</v>
      </c>
      <c r="O138" s="1" t="b">
        <f t="shared" si="3"/>
        <v>0</v>
      </c>
      <c r="P138" s="1" t="str">
        <f t="shared" si="4"/>
        <v>Sunshine Equipment|-13025.31</v>
      </c>
      <c r="Q138" s="1" t="str">
        <f t="shared" si="5"/>
        <v>Paid but No Bank Match</v>
      </c>
    </row>
    <row r="139">
      <c r="A139" s="1" t="s">
        <v>182</v>
      </c>
      <c r="B139" s="1" t="s">
        <v>27</v>
      </c>
      <c r="C139" s="3">
        <v>46007.0</v>
      </c>
      <c r="D139" s="3">
        <v>46037.0</v>
      </c>
      <c r="E139" s="1" t="s">
        <v>37</v>
      </c>
      <c r="F139" s="1" t="s">
        <v>28</v>
      </c>
      <c r="G139" s="1">
        <v>9743.51</v>
      </c>
      <c r="H139" s="1" t="s">
        <v>25</v>
      </c>
      <c r="I139" s="1">
        <v>584.61</v>
      </c>
      <c r="J139" s="1">
        <f t="shared" si="1"/>
        <v>10328.12</v>
      </c>
      <c r="K139" s="1" t="b">
        <v>0</v>
      </c>
      <c r="L139" s="4"/>
      <c r="M139" s="1">
        <v>10328.12</v>
      </c>
      <c r="N139" s="1" t="b">
        <f t="shared" si="2"/>
        <v>0</v>
      </c>
      <c r="O139" s="1" t="b">
        <f t="shared" si="3"/>
        <v>1</v>
      </c>
      <c r="P139" s="1" t="str">
        <f t="shared" si="4"/>
        <v>Sunline Electrical|-10328.12</v>
      </c>
      <c r="Q139" s="1" t="str">
        <f t="shared" si="5"/>
        <v>Unpaid</v>
      </c>
    </row>
    <row r="140">
      <c r="A140" s="1" t="s">
        <v>183</v>
      </c>
      <c r="B140" s="1" t="s">
        <v>42</v>
      </c>
      <c r="C140" s="3">
        <v>45914.0</v>
      </c>
      <c r="D140" s="3">
        <v>45944.0</v>
      </c>
      <c r="E140" s="1" t="s">
        <v>37</v>
      </c>
      <c r="F140" s="1" t="s">
        <v>20</v>
      </c>
      <c r="G140" s="1">
        <v>15133.31</v>
      </c>
      <c r="H140" s="1" t="s">
        <v>25</v>
      </c>
      <c r="I140" s="1">
        <v>908.0</v>
      </c>
      <c r="J140" s="1">
        <f t="shared" si="1"/>
        <v>16041.31</v>
      </c>
      <c r="K140" s="1" t="b">
        <v>0</v>
      </c>
      <c r="L140" s="4"/>
      <c r="M140" s="1">
        <v>16041.31</v>
      </c>
      <c r="N140" s="1" t="b">
        <f t="shared" si="2"/>
        <v>0</v>
      </c>
      <c r="O140" s="1" t="b">
        <f t="shared" si="3"/>
        <v>1</v>
      </c>
      <c r="P140" s="1" t="str">
        <f t="shared" si="4"/>
        <v>BrightPower Partners|-16041.31</v>
      </c>
      <c r="Q140" s="1" t="str">
        <f t="shared" si="5"/>
        <v>Unpaid</v>
      </c>
    </row>
    <row r="141">
      <c r="A141" s="1" t="s">
        <v>184</v>
      </c>
      <c r="B141" s="1" t="s">
        <v>30</v>
      </c>
      <c r="C141" s="3">
        <v>45960.0</v>
      </c>
      <c r="D141" s="3">
        <v>46005.0</v>
      </c>
      <c r="E141" s="1" t="s">
        <v>54</v>
      </c>
      <c r="F141" s="1" t="s">
        <v>20</v>
      </c>
      <c r="G141" s="1">
        <v>12370.81</v>
      </c>
      <c r="H141" s="1" t="s">
        <v>45</v>
      </c>
      <c r="I141" s="1">
        <v>804.1</v>
      </c>
      <c r="J141" s="1">
        <f t="shared" si="1"/>
        <v>13174.91</v>
      </c>
      <c r="K141" s="1" t="b">
        <v>1</v>
      </c>
      <c r="L141" s="3">
        <v>45966.0</v>
      </c>
      <c r="M141" s="1">
        <v>13174.91</v>
      </c>
      <c r="N141" s="1" t="b">
        <f t="shared" si="2"/>
        <v>0</v>
      </c>
      <c r="O141" s="1" t="b">
        <f t="shared" si="3"/>
        <v>0</v>
      </c>
      <c r="P141" s="1" t="str">
        <f t="shared" si="4"/>
        <v>Tidal Contractors|-13174.91</v>
      </c>
      <c r="Q141" s="1" t="str">
        <f t="shared" si="5"/>
        <v>Paid but No Bank Match</v>
      </c>
    </row>
    <row r="142">
      <c r="A142" s="1" t="s">
        <v>185</v>
      </c>
      <c r="B142" s="1" t="s">
        <v>42</v>
      </c>
      <c r="C142" s="3">
        <v>46022.0</v>
      </c>
      <c r="D142" s="3">
        <v>46067.0</v>
      </c>
      <c r="E142" s="1" t="s">
        <v>37</v>
      </c>
      <c r="F142" s="1" t="s">
        <v>20</v>
      </c>
      <c r="G142" s="1">
        <v>4119.61</v>
      </c>
      <c r="H142" s="1" t="s">
        <v>45</v>
      </c>
      <c r="I142" s="1">
        <v>267.77</v>
      </c>
      <c r="J142" s="1">
        <f t="shared" si="1"/>
        <v>4387.38</v>
      </c>
      <c r="K142" s="1" t="b">
        <v>0</v>
      </c>
      <c r="L142" s="4"/>
      <c r="M142" s="1">
        <v>4387.38</v>
      </c>
      <c r="N142" s="1" t="b">
        <f t="shared" si="2"/>
        <v>0</v>
      </c>
      <c r="O142" s="1" t="b">
        <f t="shared" si="3"/>
        <v>1</v>
      </c>
      <c r="P142" s="1" t="str">
        <f t="shared" si="4"/>
        <v>BrightPower Partners|-4387.38</v>
      </c>
      <c r="Q142" s="1" t="str">
        <f t="shared" si="5"/>
        <v>Unpaid</v>
      </c>
    </row>
    <row r="143">
      <c r="A143" s="1" t="s">
        <v>186</v>
      </c>
      <c r="B143" s="1" t="s">
        <v>23</v>
      </c>
      <c r="C143" s="3">
        <v>45768.0</v>
      </c>
      <c r="D143" s="3">
        <v>45798.0</v>
      </c>
      <c r="E143" s="1" t="s">
        <v>50</v>
      </c>
      <c r="F143" s="1" t="s">
        <v>20</v>
      </c>
      <c r="G143" s="1">
        <v>18865.6</v>
      </c>
      <c r="H143" s="1" t="s">
        <v>34</v>
      </c>
      <c r="I143" s="1">
        <v>1414.92</v>
      </c>
      <c r="J143" s="1">
        <f t="shared" si="1"/>
        <v>20280.52</v>
      </c>
      <c r="K143" s="1" t="b">
        <v>1</v>
      </c>
      <c r="L143" s="3">
        <v>45790.0</v>
      </c>
      <c r="M143" s="1">
        <v>20280.52</v>
      </c>
      <c r="N143" s="1" t="b">
        <f t="shared" si="2"/>
        <v>0</v>
      </c>
      <c r="O143" s="1" t="b">
        <f t="shared" si="3"/>
        <v>0</v>
      </c>
      <c r="P143" s="1" t="str">
        <f t="shared" si="4"/>
        <v>Atlantic Fiber Co|-20280.52</v>
      </c>
      <c r="Q143" s="1" t="str">
        <f t="shared" si="5"/>
        <v>Paid but No Bank Match</v>
      </c>
    </row>
    <row r="144">
      <c r="A144" s="1" t="s">
        <v>187</v>
      </c>
      <c r="B144" s="1" t="s">
        <v>42</v>
      </c>
      <c r="C144" s="3">
        <v>45951.0</v>
      </c>
      <c r="D144" s="3">
        <v>45981.0</v>
      </c>
      <c r="E144" s="1" t="s">
        <v>50</v>
      </c>
      <c r="F144" s="1" t="s">
        <v>28</v>
      </c>
      <c r="G144" s="1">
        <v>6440.53</v>
      </c>
      <c r="H144" s="1" t="s">
        <v>25</v>
      </c>
      <c r="I144" s="1">
        <v>386.43</v>
      </c>
      <c r="J144" s="1">
        <f t="shared" si="1"/>
        <v>6826.96</v>
      </c>
      <c r="K144" s="1" t="b">
        <v>1</v>
      </c>
      <c r="L144" s="3">
        <v>45983.0</v>
      </c>
      <c r="M144" s="1">
        <v>6826.96</v>
      </c>
      <c r="N144" s="1" t="b">
        <f t="shared" si="2"/>
        <v>0</v>
      </c>
      <c r="O144" s="1" t="b">
        <f t="shared" si="3"/>
        <v>0</v>
      </c>
      <c r="P144" s="1" t="str">
        <f t="shared" si="4"/>
        <v>BrightPower Partners|-6826.96</v>
      </c>
      <c r="Q144" s="1" t="str">
        <f t="shared" si="5"/>
        <v>Paid but No Bank Match</v>
      </c>
    </row>
    <row r="145">
      <c r="A145" s="1" t="s">
        <v>188</v>
      </c>
      <c r="B145" s="1" t="s">
        <v>90</v>
      </c>
      <c r="C145" s="3">
        <v>45859.0</v>
      </c>
      <c r="D145" s="3">
        <v>45904.0</v>
      </c>
      <c r="E145" s="1" t="s">
        <v>19</v>
      </c>
      <c r="F145" s="1" t="s">
        <v>28</v>
      </c>
      <c r="G145" s="1">
        <v>21097.39</v>
      </c>
      <c r="H145" s="1" t="s">
        <v>45</v>
      </c>
      <c r="I145" s="1">
        <v>1371.33</v>
      </c>
      <c r="J145" s="1">
        <f t="shared" si="1"/>
        <v>22468.72</v>
      </c>
      <c r="K145" s="1" t="b">
        <v>1</v>
      </c>
      <c r="L145" s="3">
        <v>45907.0</v>
      </c>
      <c r="M145" s="1">
        <v>22468.72</v>
      </c>
      <c r="N145" s="1" t="b">
        <f t="shared" si="2"/>
        <v>0</v>
      </c>
      <c r="O145" s="1" t="b">
        <f t="shared" si="3"/>
        <v>0</v>
      </c>
      <c r="P145" s="1" t="str">
        <f t="shared" si="4"/>
        <v>Peak Materials Supply|-22468.72</v>
      </c>
      <c r="Q145" s="1" t="str">
        <f t="shared" si="5"/>
        <v>Paid but No Bank Match</v>
      </c>
    </row>
    <row r="146">
      <c r="A146" s="1" t="s">
        <v>189</v>
      </c>
      <c r="B146" s="1" t="s">
        <v>23</v>
      </c>
      <c r="C146" s="3">
        <v>45682.0</v>
      </c>
      <c r="D146" s="3">
        <v>45727.0</v>
      </c>
      <c r="E146" s="1" t="s">
        <v>50</v>
      </c>
      <c r="F146" s="1" t="s">
        <v>20</v>
      </c>
      <c r="G146" s="1">
        <v>15043.02</v>
      </c>
      <c r="H146" s="1" t="s">
        <v>34</v>
      </c>
      <c r="I146" s="1">
        <v>1128.23</v>
      </c>
      <c r="J146" s="1">
        <f t="shared" si="1"/>
        <v>16171.25</v>
      </c>
      <c r="K146" s="1" t="b">
        <v>1</v>
      </c>
      <c r="L146" s="3">
        <v>45704.0</v>
      </c>
      <c r="M146" s="1">
        <v>16171.25</v>
      </c>
      <c r="N146" s="1" t="b">
        <f t="shared" si="2"/>
        <v>0</v>
      </c>
      <c r="O146" s="1" t="b">
        <f t="shared" si="3"/>
        <v>0</v>
      </c>
      <c r="P146" s="1" t="str">
        <f t="shared" si="4"/>
        <v>Atlantic Fiber Co|-16171.25</v>
      </c>
      <c r="Q146" s="1" t="str">
        <f t="shared" si="5"/>
        <v>Paid but No Bank Match</v>
      </c>
    </row>
    <row r="147">
      <c r="A147" s="1" t="s">
        <v>190</v>
      </c>
      <c r="B147" s="1" t="s">
        <v>42</v>
      </c>
      <c r="C147" s="3">
        <v>45768.0</v>
      </c>
      <c r="D147" s="3">
        <v>45798.0</v>
      </c>
      <c r="E147" s="1" t="s">
        <v>37</v>
      </c>
      <c r="F147" s="1" t="s">
        <v>24</v>
      </c>
      <c r="G147" s="1">
        <v>18552.15</v>
      </c>
      <c r="H147" s="1" t="s">
        <v>34</v>
      </c>
      <c r="I147" s="1">
        <v>1391.41</v>
      </c>
      <c r="J147" s="1">
        <f t="shared" si="1"/>
        <v>19943.56</v>
      </c>
      <c r="K147" s="1" t="b">
        <v>1</v>
      </c>
      <c r="L147" s="3">
        <v>45812.0</v>
      </c>
      <c r="M147" s="1">
        <v>19943.56</v>
      </c>
      <c r="N147" s="1" t="b">
        <f t="shared" si="2"/>
        <v>0</v>
      </c>
      <c r="O147" s="1" t="b">
        <f t="shared" si="3"/>
        <v>0</v>
      </c>
      <c r="P147" s="1" t="str">
        <f t="shared" si="4"/>
        <v>BrightPower Partners|-19943.56</v>
      </c>
      <c r="Q147" s="1" t="str">
        <f t="shared" si="5"/>
        <v>Paid but No Bank Match</v>
      </c>
    </row>
    <row r="148">
      <c r="A148" s="1" t="s">
        <v>191</v>
      </c>
      <c r="B148" s="1" t="s">
        <v>30</v>
      </c>
      <c r="C148" s="3">
        <v>45893.0</v>
      </c>
      <c r="D148" s="3">
        <v>45938.0</v>
      </c>
      <c r="E148" s="1" t="s">
        <v>50</v>
      </c>
      <c r="F148" s="1" t="s">
        <v>47</v>
      </c>
      <c r="G148" s="1">
        <v>7452.51</v>
      </c>
      <c r="H148" s="1" t="s">
        <v>34</v>
      </c>
      <c r="I148" s="1">
        <v>558.94</v>
      </c>
      <c r="J148" s="1">
        <f t="shared" si="1"/>
        <v>8011.45</v>
      </c>
      <c r="K148" s="1" t="b">
        <v>1</v>
      </c>
      <c r="L148" s="3">
        <v>45923.0</v>
      </c>
      <c r="M148" s="1">
        <v>8011.45</v>
      </c>
      <c r="N148" s="1" t="b">
        <f t="shared" si="2"/>
        <v>0</v>
      </c>
      <c r="O148" s="1" t="b">
        <f t="shared" si="3"/>
        <v>0</v>
      </c>
      <c r="P148" s="1" t="str">
        <f t="shared" si="4"/>
        <v>Tidal Contractors|-8011.45</v>
      </c>
      <c r="Q148" s="1" t="str">
        <f t="shared" si="5"/>
        <v>Paid but No Bank Match</v>
      </c>
    </row>
    <row r="149">
      <c r="A149" s="1" t="s">
        <v>192</v>
      </c>
      <c r="B149" s="1" t="s">
        <v>27</v>
      </c>
      <c r="C149" s="3">
        <v>45977.0</v>
      </c>
      <c r="D149" s="3">
        <v>46022.0</v>
      </c>
      <c r="E149" s="1" t="s">
        <v>54</v>
      </c>
      <c r="F149" s="1" t="s">
        <v>47</v>
      </c>
      <c r="G149" s="1">
        <v>9224.37</v>
      </c>
      <c r="H149" s="1" t="s">
        <v>25</v>
      </c>
      <c r="I149" s="1">
        <v>1106.92</v>
      </c>
      <c r="J149" s="1">
        <f t="shared" si="1"/>
        <v>10331.29</v>
      </c>
      <c r="K149" s="1" t="b">
        <v>0</v>
      </c>
      <c r="L149" s="4"/>
      <c r="M149" s="1">
        <v>10331.29</v>
      </c>
      <c r="N149" s="1" t="b">
        <f t="shared" si="2"/>
        <v>0</v>
      </c>
      <c r="O149" s="1" t="b">
        <f t="shared" si="3"/>
        <v>1</v>
      </c>
      <c r="P149" s="1" t="str">
        <f t="shared" si="4"/>
        <v>Sunline Electrical|-10331.29</v>
      </c>
      <c r="Q149" s="1" t="str">
        <f t="shared" si="5"/>
        <v>Unpaid</v>
      </c>
    </row>
    <row r="150">
      <c r="A150" s="1" t="s">
        <v>193</v>
      </c>
      <c r="B150" s="1" t="s">
        <v>57</v>
      </c>
      <c r="C150" s="3">
        <v>45886.0</v>
      </c>
      <c r="D150" s="3">
        <v>45916.0</v>
      </c>
      <c r="E150" s="1" t="s">
        <v>19</v>
      </c>
      <c r="F150" s="1" t="s">
        <v>51</v>
      </c>
      <c r="G150" s="1">
        <v>684.59</v>
      </c>
      <c r="H150" s="1" t="s">
        <v>25</v>
      </c>
      <c r="I150" s="1">
        <v>41.08</v>
      </c>
      <c r="J150" s="1">
        <f t="shared" si="1"/>
        <v>725.67</v>
      </c>
      <c r="K150" s="1" t="b">
        <v>1</v>
      </c>
      <c r="L150" s="3">
        <v>45894.0</v>
      </c>
      <c r="M150" s="1">
        <v>725.67</v>
      </c>
      <c r="N150" s="1" t="b">
        <f t="shared" si="2"/>
        <v>0</v>
      </c>
      <c r="O150" s="1" t="b">
        <f t="shared" si="3"/>
        <v>0</v>
      </c>
      <c r="P150" s="1" t="str">
        <f t="shared" si="4"/>
        <v>Florida Line Crew LLC|-725.67</v>
      </c>
      <c r="Q150" s="1" t="str">
        <f t="shared" si="5"/>
        <v>Paid but No Bank Match</v>
      </c>
    </row>
    <row r="151">
      <c r="A151" s="1" t="s">
        <v>194</v>
      </c>
      <c r="B151" s="1" t="s">
        <v>40</v>
      </c>
      <c r="C151" s="3">
        <v>46007.0</v>
      </c>
      <c r="D151" s="3">
        <v>46037.0</v>
      </c>
      <c r="E151" s="1" t="s">
        <v>54</v>
      </c>
      <c r="F151" s="1" t="s">
        <v>47</v>
      </c>
      <c r="G151" s="1">
        <v>7484.83</v>
      </c>
      <c r="H151" s="1" t="s">
        <v>34</v>
      </c>
      <c r="I151" s="1">
        <v>561.36</v>
      </c>
      <c r="J151" s="1">
        <f t="shared" si="1"/>
        <v>8046.19</v>
      </c>
      <c r="K151" s="1" t="b">
        <v>0</v>
      </c>
      <c r="L151" s="4"/>
      <c r="M151" s="1">
        <v>8046.19</v>
      </c>
      <c r="N151" s="1" t="b">
        <f t="shared" si="2"/>
        <v>0</v>
      </c>
      <c r="O151" s="1" t="b">
        <f t="shared" si="3"/>
        <v>1</v>
      </c>
      <c r="P151" s="1" t="str">
        <f t="shared" si="4"/>
        <v>Gulf Coast Telecom|-8046.19</v>
      </c>
      <c r="Q151" s="1" t="str">
        <f t="shared" si="5"/>
        <v>Unpaid</v>
      </c>
    </row>
    <row r="152">
      <c r="A152" s="1" t="s">
        <v>195</v>
      </c>
      <c r="B152" s="1" t="s">
        <v>59</v>
      </c>
      <c r="C152" s="3">
        <v>45794.0</v>
      </c>
      <c r="D152" s="3">
        <v>45824.0</v>
      </c>
      <c r="E152" s="1" t="s">
        <v>50</v>
      </c>
      <c r="F152" s="1" t="s">
        <v>28</v>
      </c>
      <c r="G152" s="1">
        <v>13350.53</v>
      </c>
      <c r="H152" s="1" t="s">
        <v>45</v>
      </c>
      <c r="I152" s="1">
        <v>867.78</v>
      </c>
      <c r="J152" s="1">
        <f t="shared" si="1"/>
        <v>14218.42</v>
      </c>
      <c r="K152" s="1" t="b">
        <v>1</v>
      </c>
      <c r="L152" s="3">
        <v>45834.0</v>
      </c>
      <c r="M152" s="1">
        <v>14218.31</v>
      </c>
      <c r="N152" s="1" t="b">
        <f t="shared" si="2"/>
        <v>1</v>
      </c>
      <c r="O152" s="1" t="b">
        <f t="shared" si="3"/>
        <v>0</v>
      </c>
      <c r="P152" s="1" t="str">
        <f t="shared" si="4"/>
        <v>Skyline Engineering|-14218.42</v>
      </c>
      <c r="Q152" s="1" t="str">
        <f t="shared" si="5"/>
        <v>Paid but No Bank Match</v>
      </c>
    </row>
    <row r="153">
      <c r="A153" s="1" t="s">
        <v>196</v>
      </c>
      <c r="B153" s="1" t="s">
        <v>40</v>
      </c>
      <c r="C153" s="3">
        <v>45880.0</v>
      </c>
      <c r="D153" s="3">
        <v>45910.0</v>
      </c>
      <c r="E153" s="1" t="s">
        <v>19</v>
      </c>
      <c r="F153" s="1" t="s">
        <v>47</v>
      </c>
      <c r="G153" s="1">
        <v>14611.96</v>
      </c>
      <c r="H153" s="1" t="s">
        <v>21</v>
      </c>
      <c r="I153" s="1">
        <v>1022.84</v>
      </c>
      <c r="J153" s="1">
        <f t="shared" si="1"/>
        <v>15634.8</v>
      </c>
      <c r="K153" s="1" t="b">
        <v>0</v>
      </c>
      <c r="L153" s="4"/>
      <c r="M153" s="1">
        <v>15634.8</v>
      </c>
      <c r="N153" s="1" t="b">
        <f t="shared" si="2"/>
        <v>0</v>
      </c>
      <c r="O153" s="1" t="b">
        <f t="shared" si="3"/>
        <v>1</v>
      </c>
      <c r="P153" s="1" t="str">
        <f t="shared" si="4"/>
        <v>Gulf Coast Telecom|-15634.8</v>
      </c>
      <c r="Q153" s="1" t="str">
        <f t="shared" si="5"/>
        <v>Unpaid</v>
      </c>
    </row>
    <row r="154">
      <c r="A154" s="1" t="s">
        <v>197</v>
      </c>
      <c r="B154" s="1" t="s">
        <v>30</v>
      </c>
      <c r="C154" s="3">
        <v>45992.0</v>
      </c>
      <c r="D154" s="3">
        <v>46037.0</v>
      </c>
      <c r="E154" s="1" t="s">
        <v>54</v>
      </c>
      <c r="F154" s="1" t="s">
        <v>47</v>
      </c>
      <c r="G154" s="1">
        <v>6818.62</v>
      </c>
      <c r="H154" s="1" t="s">
        <v>45</v>
      </c>
      <c r="I154" s="1">
        <v>443.21</v>
      </c>
      <c r="J154" s="1">
        <f t="shared" si="1"/>
        <v>7261.83</v>
      </c>
      <c r="K154" s="1" t="b">
        <v>0</v>
      </c>
      <c r="L154" s="4"/>
      <c r="M154" s="1">
        <v>7261.83</v>
      </c>
      <c r="N154" s="1" t="b">
        <f t="shared" si="2"/>
        <v>0</v>
      </c>
      <c r="O154" s="1" t="b">
        <f t="shared" si="3"/>
        <v>1</v>
      </c>
      <c r="P154" s="1" t="str">
        <f t="shared" si="4"/>
        <v>Tidal Contractors|-7261.83</v>
      </c>
      <c r="Q154" s="1" t="str">
        <f t="shared" si="5"/>
        <v>Unpaid</v>
      </c>
    </row>
    <row r="155">
      <c r="A155" s="1" t="s">
        <v>198</v>
      </c>
      <c r="B155" s="1" t="s">
        <v>59</v>
      </c>
      <c r="C155" s="3">
        <v>45719.0</v>
      </c>
      <c r="D155" s="3">
        <v>45764.0</v>
      </c>
      <c r="E155" s="1" t="s">
        <v>37</v>
      </c>
      <c r="F155" s="1" t="s">
        <v>60</v>
      </c>
      <c r="G155" s="1">
        <v>14140.69</v>
      </c>
      <c r="H155" s="1" t="s">
        <v>34</v>
      </c>
      <c r="I155" s="1">
        <v>1060.55</v>
      </c>
      <c r="J155" s="1">
        <f t="shared" si="1"/>
        <v>15201.24</v>
      </c>
      <c r="K155" s="1" t="b">
        <v>1</v>
      </c>
      <c r="L155" s="3">
        <v>45774.0</v>
      </c>
      <c r="M155" s="1">
        <v>15201.24</v>
      </c>
      <c r="N155" s="1" t="b">
        <f t="shared" si="2"/>
        <v>0</v>
      </c>
      <c r="O155" s="1" t="b">
        <f t="shared" si="3"/>
        <v>0</v>
      </c>
      <c r="P155" s="1" t="str">
        <f t="shared" si="4"/>
        <v>Skyline Engineering|-15201.24</v>
      </c>
      <c r="Q155" s="1" t="str">
        <f t="shared" si="5"/>
        <v>Paid but No Bank Match</v>
      </c>
    </row>
    <row r="156">
      <c r="A156" s="1" t="s">
        <v>199</v>
      </c>
      <c r="B156" s="1" t="s">
        <v>59</v>
      </c>
      <c r="C156" s="3">
        <v>45830.0</v>
      </c>
      <c r="D156" s="3">
        <v>45860.0</v>
      </c>
      <c r="E156" s="1" t="s">
        <v>50</v>
      </c>
      <c r="F156" s="1" t="s">
        <v>28</v>
      </c>
      <c r="G156" s="1">
        <v>5082.57</v>
      </c>
      <c r="H156" s="1" t="s">
        <v>45</v>
      </c>
      <c r="I156" s="1">
        <v>330.37</v>
      </c>
      <c r="J156" s="1">
        <f t="shared" si="1"/>
        <v>5412.92</v>
      </c>
      <c r="K156" s="1" t="b">
        <v>1</v>
      </c>
      <c r="L156" s="3">
        <v>45853.0</v>
      </c>
      <c r="M156" s="1">
        <v>5412.94</v>
      </c>
      <c r="N156" s="1" t="b">
        <f t="shared" si="2"/>
        <v>1</v>
      </c>
      <c r="O156" s="1" t="b">
        <f t="shared" si="3"/>
        <v>0</v>
      </c>
      <c r="P156" s="1" t="str">
        <f t="shared" si="4"/>
        <v>Skyline Engineering|-5412.92</v>
      </c>
      <c r="Q156" s="1" t="str">
        <f t="shared" si="5"/>
        <v>Paid but No Bank Match</v>
      </c>
    </row>
    <row r="157">
      <c r="A157" s="1" t="s">
        <v>200</v>
      </c>
      <c r="B157" s="1" t="s">
        <v>18</v>
      </c>
      <c r="C157" s="3">
        <v>45869.0</v>
      </c>
      <c r="D157" s="3">
        <v>45899.0</v>
      </c>
      <c r="E157" s="1" t="s">
        <v>50</v>
      </c>
      <c r="F157" s="1" t="s">
        <v>28</v>
      </c>
      <c r="G157" s="1">
        <v>6439.04</v>
      </c>
      <c r="H157" s="1" t="s">
        <v>21</v>
      </c>
      <c r="I157" s="1">
        <v>450.73</v>
      </c>
      <c r="J157" s="1">
        <f t="shared" si="1"/>
        <v>6889.77</v>
      </c>
      <c r="K157" s="1" t="b">
        <v>1</v>
      </c>
      <c r="L157" s="3">
        <v>45887.0</v>
      </c>
      <c r="M157" s="1">
        <v>6889.77</v>
      </c>
      <c r="N157" s="1" t="b">
        <f t="shared" si="2"/>
        <v>0</v>
      </c>
      <c r="O157" s="1" t="b">
        <f t="shared" si="3"/>
        <v>0</v>
      </c>
      <c r="P157" s="1" t="str">
        <f t="shared" si="4"/>
        <v>Tri-County Services|-6889.77</v>
      </c>
      <c r="Q157" s="1" t="str">
        <f t="shared" si="5"/>
        <v>Paid but No Bank Match</v>
      </c>
    </row>
    <row r="158">
      <c r="A158" s="1" t="s">
        <v>201</v>
      </c>
      <c r="B158" s="1" t="s">
        <v>30</v>
      </c>
      <c r="C158" s="3">
        <v>45977.0</v>
      </c>
      <c r="D158" s="3">
        <v>46007.0</v>
      </c>
      <c r="E158" s="1" t="s">
        <v>50</v>
      </c>
      <c r="F158" s="1" t="s">
        <v>24</v>
      </c>
      <c r="G158" s="1">
        <v>12899.55</v>
      </c>
      <c r="H158" s="1" t="s">
        <v>25</v>
      </c>
      <c r="I158" s="1">
        <v>773.97</v>
      </c>
      <c r="J158" s="1">
        <f t="shared" si="1"/>
        <v>13673.52</v>
      </c>
      <c r="K158" s="1" t="b">
        <v>0</v>
      </c>
      <c r="L158" s="4"/>
      <c r="M158" s="1">
        <v>13673.52</v>
      </c>
      <c r="N158" s="1" t="b">
        <f t="shared" si="2"/>
        <v>0</v>
      </c>
      <c r="O158" s="1" t="b">
        <f t="shared" si="3"/>
        <v>1</v>
      </c>
      <c r="P158" s="1" t="str">
        <f t="shared" si="4"/>
        <v>Tidal Contractors|-13673.52</v>
      </c>
      <c r="Q158" s="1" t="str">
        <f t="shared" si="5"/>
        <v>Unpaid</v>
      </c>
    </row>
    <row r="159">
      <c r="A159" s="1" t="s">
        <v>202</v>
      </c>
      <c r="B159" s="1" t="s">
        <v>49</v>
      </c>
      <c r="C159" s="3">
        <v>45990.0</v>
      </c>
      <c r="D159" s="3">
        <v>46035.0</v>
      </c>
      <c r="E159" s="1" t="s">
        <v>37</v>
      </c>
      <c r="F159" s="1" t="s">
        <v>24</v>
      </c>
      <c r="G159" s="1">
        <v>1769.68</v>
      </c>
      <c r="H159" s="1" t="s">
        <v>21</v>
      </c>
      <c r="I159" s="1">
        <v>123.88</v>
      </c>
      <c r="J159" s="1">
        <f t="shared" si="1"/>
        <v>1894.06</v>
      </c>
      <c r="K159" s="1" t="b">
        <v>1</v>
      </c>
      <c r="L159" s="3">
        <v>46004.0</v>
      </c>
      <c r="M159" s="1">
        <v>1893.56</v>
      </c>
      <c r="N159" s="1" t="b">
        <f t="shared" si="2"/>
        <v>1</v>
      </c>
      <c r="O159" s="1" t="b">
        <f t="shared" si="3"/>
        <v>0</v>
      </c>
      <c r="P159" s="1" t="str">
        <f t="shared" si="4"/>
        <v>Sunshine Equipment|-1894.06</v>
      </c>
      <c r="Q159" s="1" t="str">
        <f t="shared" si="5"/>
        <v>Paid but No Bank Match</v>
      </c>
    </row>
    <row r="160">
      <c r="A160" s="1" t="s">
        <v>203</v>
      </c>
      <c r="B160" s="1" t="s">
        <v>90</v>
      </c>
      <c r="C160" s="3">
        <v>45918.0</v>
      </c>
      <c r="D160" s="3">
        <v>45963.0</v>
      </c>
      <c r="E160" s="1" t="s">
        <v>54</v>
      </c>
      <c r="F160" s="1" t="s">
        <v>24</v>
      </c>
      <c r="G160" s="1">
        <v>24754.03</v>
      </c>
      <c r="H160" s="1" t="s">
        <v>21</v>
      </c>
      <c r="I160" s="1">
        <v>1732.78</v>
      </c>
      <c r="J160" s="1">
        <f t="shared" si="1"/>
        <v>26486.81</v>
      </c>
      <c r="K160" s="1" t="b">
        <v>1</v>
      </c>
      <c r="L160" s="3">
        <v>45924.0</v>
      </c>
      <c r="M160" s="1">
        <v>26486.81</v>
      </c>
      <c r="N160" s="1" t="b">
        <f t="shared" si="2"/>
        <v>0</v>
      </c>
      <c r="O160" s="1" t="b">
        <f t="shared" si="3"/>
        <v>0</v>
      </c>
      <c r="P160" s="1" t="str">
        <f t="shared" si="4"/>
        <v>Peak Materials Supply|-26486.81</v>
      </c>
      <c r="Q160" s="1" t="str">
        <f t="shared" si="5"/>
        <v>Paid but No Bank Match</v>
      </c>
    </row>
    <row r="161">
      <c r="A161" s="1" t="s">
        <v>204</v>
      </c>
      <c r="B161" s="1" t="s">
        <v>90</v>
      </c>
      <c r="C161" s="3">
        <v>45741.0</v>
      </c>
      <c r="D161" s="3">
        <v>45771.0</v>
      </c>
      <c r="E161" s="1" t="s">
        <v>54</v>
      </c>
      <c r="F161" s="1" t="s">
        <v>24</v>
      </c>
      <c r="G161" s="1">
        <v>17196.82</v>
      </c>
      <c r="H161" s="1" t="s">
        <v>21</v>
      </c>
      <c r="I161" s="1">
        <v>1203.78</v>
      </c>
      <c r="J161" s="1">
        <f t="shared" si="1"/>
        <v>18400.6</v>
      </c>
      <c r="K161" s="1" t="b">
        <v>1</v>
      </c>
      <c r="L161" s="3">
        <v>45760.0</v>
      </c>
      <c r="M161" s="1">
        <v>18400.6</v>
      </c>
      <c r="N161" s="1" t="b">
        <f t="shared" si="2"/>
        <v>0</v>
      </c>
      <c r="O161" s="1" t="b">
        <f t="shared" si="3"/>
        <v>0</v>
      </c>
      <c r="P161" s="1" t="str">
        <f t="shared" si="4"/>
        <v>Peak Materials Supply|-18400.6</v>
      </c>
      <c r="Q161" s="1" t="str">
        <f t="shared" si="5"/>
        <v>Paid but No Bank Match</v>
      </c>
    </row>
    <row r="162">
      <c r="A162" s="1" t="s">
        <v>205</v>
      </c>
      <c r="B162" s="1" t="s">
        <v>18</v>
      </c>
      <c r="C162" s="3">
        <v>45695.0</v>
      </c>
      <c r="D162" s="3">
        <v>45725.0</v>
      </c>
      <c r="E162" s="1" t="s">
        <v>37</v>
      </c>
      <c r="F162" s="1" t="s">
        <v>28</v>
      </c>
      <c r="G162" s="1">
        <v>9047.27</v>
      </c>
      <c r="H162" s="1" t="s">
        <v>34</v>
      </c>
      <c r="I162" s="1">
        <v>678.55</v>
      </c>
      <c r="J162" s="1">
        <f t="shared" si="1"/>
        <v>9725.82</v>
      </c>
      <c r="K162" s="1" t="b">
        <v>0</v>
      </c>
      <c r="L162" s="4"/>
      <c r="M162" s="1">
        <v>9725.82</v>
      </c>
      <c r="N162" s="1" t="b">
        <f t="shared" si="2"/>
        <v>0</v>
      </c>
      <c r="O162" s="1" t="b">
        <f t="shared" si="3"/>
        <v>1</v>
      </c>
      <c r="P162" s="1" t="str">
        <f t="shared" si="4"/>
        <v>Tri-County Services|-9725.82</v>
      </c>
      <c r="Q162" s="1" t="str">
        <f t="shared" si="5"/>
        <v>Unpaid</v>
      </c>
    </row>
    <row r="163">
      <c r="A163" s="1" t="s">
        <v>206</v>
      </c>
      <c r="B163" s="1" t="s">
        <v>27</v>
      </c>
      <c r="C163" s="3">
        <v>45975.0</v>
      </c>
      <c r="D163" s="3">
        <v>46005.0</v>
      </c>
      <c r="E163" s="1" t="s">
        <v>37</v>
      </c>
      <c r="F163" s="1" t="s">
        <v>20</v>
      </c>
      <c r="G163" s="1">
        <v>10508.7</v>
      </c>
      <c r="H163" s="1" t="s">
        <v>25</v>
      </c>
      <c r="I163" s="1">
        <v>630.52</v>
      </c>
      <c r="J163" s="1">
        <f t="shared" si="1"/>
        <v>11139.22</v>
      </c>
      <c r="K163" s="1" t="b">
        <v>0</v>
      </c>
      <c r="L163" s="4"/>
      <c r="M163" s="1">
        <v>11139.22</v>
      </c>
      <c r="N163" s="1" t="b">
        <f t="shared" si="2"/>
        <v>0</v>
      </c>
      <c r="O163" s="1" t="b">
        <f t="shared" si="3"/>
        <v>1</v>
      </c>
      <c r="P163" s="1" t="str">
        <f t="shared" si="4"/>
        <v>Sunline Electrical|-11139.22</v>
      </c>
      <c r="Q163" s="1" t="str">
        <f t="shared" si="5"/>
        <v>Unpaid</v>
      </c>
    </row>
    <row r="164">
      <c r="A164" s="1" t="s">
        <v>207</v>
      </c>
      <c r="B164" s="1" t="s">
        <v>40</v>
      </c>
      <c r="C164" s="3">
        <v>45794.0</v>
      </c>
      <c r="D164" s="3">
        <v>45839.0</v>
      </c>
      <c r="E164" s="1" t="s">
        <v>37</v>
      </c>
      <c r="F164" s="1" t="s">
        <v>47</v>
      </c>
      <c r="G164" s="1">
        <v>9791.1</v>
      </c>
      <c r="H164" s="1" t="s">
        <v>45</v>
      </c>
      <c r="I164" s="1">
        <v>636.42</v>
      </c>
      <c r="J164" s="1">
        <f t="shared" si="1"/>
        <v>10426.1</v>
      </c>
      <c r="K164" s="1" t="b">
        <v>0</v>
      </c>
      <c r="L164" s="4"/>
      <c r="M164" s="1">
        <v>10427.52</v>
      </c>
      <c r="N164" s="1" t="b">
        <f t="shared" si="2"/>
        <v>1</v>
      </c>
      <c r="O164" s="1" t="b">
        <f t="shared" si="3"/>
        <v>1</v>
      </c>
      <c r="P164" s="1" t="str">
        <f t="shared" si="4"/>
        <v>Gulf Coast Telecom|-10426.1</v>
      </c>
      <c r="Q164" s="1" t="str">
        <f t="shared" si="5"/>
        <v>Unpaid</v>
      </c>
    </row>
    <row r="165">
      <c r="A165" s="1" t="s">
        <v>208</v>
      </c>
      <c r="B165" s="1" t="s">
        <v>30</v>
      </c>
      <c r="C165" s="3">
        <v>45977.0</v>
      </c>
      <c r="D165" s="3">
        <v>46022.0</v>
      </c>
      <c r="E165" s="1" t="s">
        <v>54</v>
      </c>
      <c r="F165" s="1" t="s">
        <v>24</v>
      </c>
      <c r="G165" s="1">
        <v>21124.81</v>
      </c>
      <c r="H165" s="1" t="s">
        <v>34</v>
      </c>
      <c r="I165" s="1">
        <v>1584.36</v>
      </c>
      <c r="J165" s="1">
        <f t="shared" si="1"/>
        <v>22709.17</v>
      </c>
      <c r="K165" s="1" t="b">
        <v>1</v>
      </c>
      <c r="L165" s="3">
        <v>45995.0</v>
      </c>
      <c r="M165" s="1">
        <v>22709.17</v>
      </c>
      <c r="N165" s="1" t="b">
        <f t="shared" si="2"/>
        <v>0</v>
      </c>
      <c r="O165" s="1" t="b">
        <f t="shared" si="3"/>
        <v>0</v>
      </c>
      <c r="P165" s="1" t="str">
        <f t="shared" si="4"/>
        <v>Tidal Contractors|-22709.17</v>
      </c>
      <c r="Q165" s="1" t="str">
        <f t="shared" si="5"/>
        <v>Paid but No Bank Match</v>
      </c>
    </row>
    <row r="166">
      <c r="A166" s="1" t="s">
        <v>209</v>
      </c>
      <c r="B166" s="1" t="s">
        <v>62</v>
      </c>
      <c r="C166" s="3">
        <v>45973.0</v>
      </c>
      <c r="D166" s="3">
        <v>46018.0</v>
      </c>
      <c r="E166" s="1" t="s">
        <v>31</v>
      </c>
      <c r="F166" s="1" t="s">
        <v>20</v>
      </c>
      <c r="G166" s="1">
        <v>4524.51</v>
      </c>
      <c r="H166" s="1" t="s">
        <v>34</v>
      </c>
      <c r="I166" s="1">
        <v>339.34</v>
      </c>
      <c r="J166" s="1">
        <f t="shared" si="1"/>
        <v>4863.85</v>
      </c>
      <c r="K166" s="1" t="b">
        <v>1</v>
      </c>
      <c r="L166" s="3">
        <v>46003.0</v>
      </c>
      <c r="M166" s="1">
        <v>4863.85</v>
      </c>
      <c r="N166" s="1" t="b">
        <f t="shared" si="2"/>
        <v>0</v>
      </c>
      <c r="O166" s="1" t="b">
        <f t="shared" si="3"/>
        <v>0</v>
      </c>
      <c r="P166" s="1" t="str">
        <f t="shared" si="4"/>
        <v>Bay Area Rentals|-4863.85</v>
      </c>
      <c r="Q166" s="1" t="str">
        <f t="shared" si="5"/>
        <v>Paid but No Bank Match</v>
      </c>
    </row>
    <row r="167">
      <c r="A167" s="1" t="s">
        <v>210</v>
      </c>
      <c r="B167" s="1" t="s">
        <v>40</v>
      </c>
      <c r="C167" s="3">
        <v>45719.0</v>
      </c>
      <c r="D167" s="3">
        <v>45749.0</v>
      </c>
      <c r="E167" s="1" t="s">
        <v>31</v>
      </c>
      <c r="F167" s="1" t="s">
        <v>24</v>
      </c>
      <c r="G167" s="1">
        <v>21991.41</v>
      </c>
      <c r="H167" s="1" t="s">
        <v>45</v>
      </c>
      <c r="I167" s="1">
        <v>1429.44</v>
      </c>
      <c r="J167" s="1">
        <f t="shared" si="1"/>
        <v>23420.85</v>
      </c>
      <c r="K167" s="1" t="b">
        <v>1</v>
      </c>
      <c r="L167" s="3">
        <v>45763.0</v>
      </c>
      <c r="M167" s="1">
        <v>23420.85</v>
      </c>
      <c r="N167" s="1" t="b">
        <f t="shared" si="2"/>
        <v>0</v>
      </c>
      <c r="O167" s="1" t="b">
        <f t="shared" si="3"/>
        <v>0</v>
      </c>
      <c r="P167" s="1" t="str">
        <f t="shared" si="4"/>
        <v>Gulf Coast Telecom|-23420.85</v>
      </c>
      <c r="Q167" s="1" t="str">
        <f t="shared" si="5"/>
        <v>Paid but No Bank Match</v>
      </c>
    </row>
    <row r="168">
      <c r="A168" s="1" t="s">
        <v>211</v>
      </c>
      <c r="B168" s="1" t="s">
        <v>59</v>
      </c>
      <c r="C168" s="3">
        <v>45985.0</v>
      </c>
      <c r="D168" s="3">
        <v>46015.0</v>
      </c>
      <c r="E168" s="1" t="s">
        <v>50</v>
      </c>
      <c r="F168" s="1" t="s">
        <v>47</v>
      </c>
      <c r="G168" s="1">
        <v>9735.14</v>
      </c>
      <c r="H168" s="1" t="s">
        <v>25</v>
      </c>
      <c r="I168" s="1">
        <v>584.11</v>
      </c>
      <c r="J168" s="1">
        <f t="shared" si="1"/>
        <v>10319.98</v>
      </c>
      <c r="K168" s="1" t="b">
        <v>0</v>
      </c>
      <c r="L168" s="4"/>
      <c r="M168" s="1">
        <v>10319.25</v>
      </c>
      <c r="N168" s="1" t="b">
        <f t="shared" si="2"/>
        <v>1</v>
      </c>
      <c r="O168" s="1" t="b">
        <f t="shared" si="3"/>
        <v>1</v>
      </c>
      <c r="P168" s="1" t="str">
        <f t="shared" si="4"/>
        <v>Skyline Engineering|-10319.98</v>
      </c>
      <c r="Q168" s="1" t="str">
        <f t="shared" si="5"/>
        <v>Unpaid</v>
      </c>
    </row>
    <row r="169">
      <c r="A169" s="1" t="s">
        <v>212</v>
      </c>
      <c r="B169" s="1" t="s">
        <v>90</v>
      </c>
      <c r="C169" s="3">
        <v>46010.0</v>
      </c>
      <c r="D169" s="3">
        <v>46040.0</v>
      </c>
      <c r="E169" s="1" t="s">
        <v>31</v>
      </c>
      <c r="F169" s="1" t="s">
        <v>47</v>
      </c>
      <c r="G169" s="1">
        <v>12816.65</v>
      </c>
      <c r="H169" s="1" t="s">
        <v>25</v>
      </c>
      <c r="I169" s="1">
        <v>769.0</v>
      </c>
      <c r="J169" s="1">
        <f t="shared" si="1"/>
        <v>13585.65</v>
      </c>
      <c r="K169" s="1" t="b">
        <v>0</v>
      </c>
      <c r="L169" s="4"/>
      <c r="M169" s="1">
        <v>13585.65</v>
      </c>
      <c r="N169" s="1" t="b">
        <f t="shared" si="2"/>
        <v>0</v>
      </c>
      <c r="O169" s="1" t="b">
        <f t="shared" si="3"/>
        <v>1</v>
      </c>
      <c r="P169" s="1" t="str">
        <f t="shared" si="4"/>
        <v>Peak Materials Supply|-13585.65</v>
      </c>
      <c r="Q169" s="1" t="str">
        <f t="shared" si="5"/>
        <v>Unpaid</v>
      </c>
    </row>
    <row r="170">
      <c r="A170" s="1" t="s">
        <v>213</v>
      </c>
      <c r="B170" s="1" t="s">
        <v>40</v>
      </c>
      <c r="C170" s="3">
        <v>45761.0</v>
      </c>
      <c r="D170" s="3">
        <v>45806.0</v>
      </c>
      <c r="E170" s="1" t="s">
        <v>37</v>
      </c>
      <c r="F170" s="1" t="s">
        <v>47</v>
      </c>
      <c r="G170" s="1">
        <v>13799.81</v>
      </c>
      <c r="H170" s="1" t="s">
        <v>45</v>
      </c>
      <c r="I170" s="1">
        <v>896.99</v>
      </c>
      <c r="J170" s="1">
        <f t="shared" si="1"/>
        <v>14696.8</v>
      </c>
      <c r="K170" s="1" t="b">
        <v>1</v>
      </c>
      <c r="L170" s="3">
        <v>45772.0</v>
      </c>
      <c r="M170" s="1">
        <v>14696.8</v>
      </c>
      <c r="N170" s="1" t="b">
        <f t="shared" si="2"/>
        <v>0</v>
      </c>
      <c r="O170" s="1" t="b">
        <f t="shared" si="3"/>
        <v>0</v>
      </c>
      <c r="P170" s="1" t="str">
        <f t="shared" si="4"/>
        <v>Gulf Coast Telecom|-14696.8</v>
      </c>
      <c r="Q170" s="1" t="str">
        <f t="shared" si="5"/>
        <v>Paid but No Bank Match</v>
      </c>
    </row>
    <row r="171">
      <c r="A171" s="1" t="s">
        <v>214</v>
      </c>
      <c r="B171" s="1" t="s">
        <v>57</v>
      </c>
      <c r="C171" s="3">
        <v>45836.0</v>
      </c>
      <c r="D171" s="3">
        <v>45866.0</v>
      </c>
      <c r="E171" s="1" t="s">
        <v>50</v>
      </c>
      <c r="F171" s="1" t="s">
        <v>20</v>
      </c>
      <c r="G171" s="1">
        <v>3912.17</v>
      </c>
      <c r="H171" s="1" t="s">
        <v>25</v>
      </c>
      <c r="I171" s="1">
        <v>234.73</v>
      </c>
      <c r="J171" s="1">
        <f t="shared" si="1"/>
        <v>4148</v>
      </c>
      <c r="K171" s="1" t="b">
        <v>1</v>
      </c>
      <c r="L171" s="3">
        <v>45869.0</v>
      </c>
      <c r="M171" s="1">
        <v>4146.9</v>
      </c>
      <c r="N171" s="1" t="b">
        <f t="shared" si="2"/>
        <v>1</v>
      </c>
      <c r="O171" s="1" t="b">
        <f t="shared" si="3"/>
        <v>0</v>
      </c>
      <c r="P171" s="1" t="str">
        <f t="shared" si="4"/>
        <v>Florida Line Crew LLC|-4148</v>
      </c>
      <c r="Q171" s="1" t="str">
        <f t="shared" si="5"/>
        <v>Paid but No Bank Match</v>
      </c>
    </row>
    <row r="172">
      <c r="A172" s="1" t="s">
        <v>215</v>
      </c>
      <c r="B172" s="1" t="s">
        <v>42</v>
      </c>
      <c r="C172" s="3">
        <v>45946.0</v>
      </c>
      <c r="D172" s="3">
        <v>45991.0</v>
      </c>
      <c r="E172" s="1" t="s">
        <v>37</v>
      </c>
      <c r="F172" s="1" t="s">
        <v>47</v>
      </c>
      <c r="G172" s="1">
        <v>22400.37</v>
      </c>
      <c r="H172" s="1" t="s">
        <v>34</v>
      </c>
      <c r="I172" s="1">
        <v>1680.03</v>
      </c>
      <c r="J172" s="1">
        <f t="shared" si="1"/>
        <v>24080.4</v>
      </c>
      <c r="K172" s="1" t="b">
        <v>1</v>
      </c>
      <c r="L172" s="3">
        <v>45988.0</v>
      </c>
      <c r="M172" s="1">
        <v>24080.4</v>
      </c>
      <c r="N172" s="1" t="b">
        <f t="shared" si="2"/>
        <v>0</v>
      </c>
      <c r="O172" s="1" t="b">
        <f t="shared" si="3"/>
        <v>0</v>
      </c>
      <c r="P172" s="1" t="str">
        <f t="shared" si="4"/>
        <v>BrightPower Partners|-24080.4</v>
      </c>
      <c r="Q172" s="1" t="str">
        <f t="shared" si="5"/>
        <v>Paid but No Bank Match</v>
      </c>
    </row>
    <row r="173">
      <c r="A173" s="1" t="s">
        <v>216</v>
      </c>
      <c r="B173" s="1" t="s">
        <v>49</v>
      </c>
      <c r="C173" s="3">
        <v>45754.0</v>
      </c>
      <c r="D173" s="3">
        <v>45784.0</v>
      </c>
      <c r="E173" s="1" t="s">
        <v>37</v>
      </c>
      <c r="F173" s="1" t="s">
        <v>20</v>
      </c>
      <c r="G173" s="1">
        <v>19575.01</v>
      </c>
      <c r="H173" s="1" t="s">
        <v>45</v>
      </c>
      <c r="I173" s="1">
        <v>1272.38</v>
      </c>
      <c r="J173" s="1">
        <f t="shared" si="1"/>
        <v>20847.17</v>
      </c>
      <c r="K173" s="1" t="b">
        <v>1</v>
      </c>
      <c r="L173" s="3">
        <v>45768.0</v>
      </c>
      <c r="M173" s="1">
        <v>20847.39</v>
      </c>
      <c r="N173" s="1" t="b">
        <f t="shared" si="2"/>
        <v>1</v>
      </c>
      <c r="O173" s="1" t="b">
        <f t="shared" si="3"/>
        <v>0</v>
      </c>
      <c r="P173" s="1" t="str">
        <f t="shared" si="4"/>
        <v>Sunshine Equipment|-20847.17</v>
      </c>
      <c r="Q173" s="1" t="str">
        <f t="shared" si="5"/>
        <v>Paid but No Bank Match</v>
      </c>
    </row>
    <row r="174">
      <c r="A174" s="1" t="s">
        <v>217</v>
      </c>
      <c r="B174" s="1" t="s">
        <v>40</v>
      </c>
      <c r="C174" s="3">
        <v>45662.0</v>
      </c>
      <c r="D174" s="3">
        <v>45707.0</v>
      </c>
      <c r="E174" s="1" t="s">
        <v>31</v>
      </c>
      <c r="F174" s="1" t="s">
        <v>24</v>
      </c>
      <c r="G174" s="1">
        <v>8881.0</v>
      </c>
      <c r="H174" s="1" t="s">
        <v>25</v>
      </c>
      <c r="I174" s="1">
        <v>532.86</v>
      </c>
      <c r="J174" s="1">
        <f t="shared" si="1"/>
        <v>9413.86</v>
      </c>
      <c r="K174" s="1" t="b">
        <v>1</v>
      </c>
      <c r="L174" s="3">
        <v>45697.0</v>
      </c>
      <c r="M174" s="1">
        <v>9413.86</v>
      </c>
      <c r="N174" s="1" t="b">
        <f t="shared" si="2"/>
        <v>0</v>
      </c>
      <c r="O174" s="1" t="b">
        <f t="shared" si="3"/>
        <v>0</v>
      </c>
      <c r="P174" s="1" t="str">
        <f t="shared" si="4"/>
        <v>Gulf Coast Telecom|-9413.86</v>
      </c>
      <c r="Q174" s="1" t="str">
        <f t="shared" si="5"/>
        <v>Paid but No Bank Match</v>
      </c>
    </row>
    <row r="175">
      <c r="A175" s="1" t="s">
        <v>218</v>
      </c>
      <c r="B175" s="1" t="s">
        <v>62</v>
      </c>
      <c r="C175" s="3">
        <v>45960.0</v>
      </c>
      <c r="D175" s="3">
        <v>45990.0</v>
      </c>
      <c r="E175" s="1" t="s">
        <v>50</v>
      </c>
      <c r="F175" s="1" t="s">
        <v>20</v>
      </c>
      <c r="G175" s="1">
        <v>3623.47</v>
      </c>
      <c r="H175" s="1" t="s">
        <v>25</v>
      </c>
      <c r="I175" s="1">
        <v>434.82</v>
      </c>
      <c r="J175" s="1">
        <f t="shared" si="1"/>
        <v>4058.29</v>
      </c>
      <c r="K175" s="1" t="b">
        <v>1</v>
      </c>
      <c r="L175" s="3">
        <v>45993.0</v>
      </c>
      <c r="M175" s="1">
        <v>4058.29</v>
      </c>
      <c r="N175" s="1" t="b">
        <f t="shared" si="2"/>
        <v>0</v>
      </c>
      <c r="O175" s="1" t="b">
        <f t="shared" si="3"/>
        <v>0</v>
      </c>
      <c r="P175" s="1" t="str">
        <f t="shared" si="4"/>
        <v>Bay Area Rentals|-4058.29</v>
      </c>
      <c r="Q175" s="1" t="str">
        <f t="shared" si="5"/>
        <v>Paid but No Bank Match</v>
      </c>
    </row>
    <row r="176">
      <c r="A176" s="1" t="s">
        <v>219</v>
      </c>
      <c r="B176" s="1" t="s">
        <v>18</v>
      </c>
      <c r="C176" s="3">
        <v>45793.0</v>
      </c>
      <c r="D176" s="3">
        <v>45838.0</v>
      </c>
      <c r="E176" s="1" t="s">
        <v>19</v>
      </c>
      <c r="F176" s="1" t="s">
        <v>28</v>
      </c>
      <c r="G176" s="1">
        <v>6116.66</v>
      </c>
      <c r="H176" s="1" t="s">
        <v>45</v>
      </c>
      <c r="I176" s="1">
        <v>397.58</v>
      </c>
      <c r="J176" s="1">
        <f t="shared" si="1"/>
        <v>6514.24</v>
      </c>
      <c r="K176" s="1" t="b">
        <v>1</v>
      </c>
      <c r="L176" s="3">
        <v>45799.0</v>
      </c>
      <c r="M176" s="1">
        <v>6514.24</v>
      </c>
      <c r="N176" s="1" t="b">
        <f t="shared" si="2"/>
        <v>0</v>
      </c>
      <c r="O176" s="1" t="b">
        <f t="shared" si="3"/>
        <v>0</v>
      </c>
      <c r="P176" s="1" t="str">
        <f t="shared" si="4"/>
        <v>Tri-County Services|-6514.24</v>
      </c>
      <c r="Q176" s="1" t="str">
        <f t="shared" si="5"/>
        <v>Paid but No Bank Match</v>
      </c>
    </row>
    <row r="177">
      <c r="A177" s="1" t="s">
        <v>220</v>
      </c>
      <c r="B177" s="1" t="s">
        <v>30</v>
      </c>
      <c r="C177" s="3">
        <v>45752.0</v>
      </c>
      <c r="D177" s="3">
        <v>45782.0</v>
      </c>
      <c r="E177" s="1" t="s">
        <v>37</v>
      </c>
      <c r="F177" s="1" t="s">
        <v>47</v>
      </c>
      <c r="G177" s="1">
        <v>14354.95</v>
      </c>
      <c r="H177" s="1" t="s">
        <v>25</v>
      </c>
      <c r="I177" s="1">
        <v>861.3</v>
      </c>
      <c r="J177" s="1">
        <f t="shared" si="1"/>
        <v>15216.25</v>
      </c>
      <c r="K177" s="1" t="b">
        <v>1</v>
      </c>
      <c r="L177" s="3">
        <v>45783.0</v>
      </c>
      <c r="M177" s="1">
        <v>15216.25</v>
      </c>
      <c r="N177" s="1" t="b">
        <f t="shared" si="2"/>
        <v>0</v>
      </c>
      <c r="O177" s="1" t="b">
        <f t="shared" si="3"/>
        <v>0</v>
      </c>
      <c r="P177" s="1" t="str">
        <f t="shared" si="4"/>
        <v>Tidal Contractors|-15216.25</v>
      </c>
      <c r="Q177" s="1" t="str">
        <f t="shared" si="5"/>
        <v>Paid but No Bank Match</v>
      </c>
    </row>
    <row r="178">
      <c r="A178" s="1" t="s">
        <v>221</v>
      </c>
      <c r="B178" s="1" t="s">
        <v>40</v>
      </c>
      <c r="C178" s="3">
        <v>45726.0</v>
      </c>
      <c r="D178" s="3">
        <v>45756.0</v>
      </c>
      <c r="E178" s="1" t="s">
        <v>31</v>
      </c>
      <c r="F178" s="1" t="s">
        <v>28</v>
      </c>
      <c r="G178" s="1">
        <v>23997.33</v>
      </c>
      <c r="H178" s="1" t="s">
        <v>21</v>
      </c>
      <c r="I178" s="1">
        <v>1679.81</v>
      </c>
      <c r="J178" s="1">
        <f t="shared" si="1"/>
        <v>25677.14</v>
      </c>
      <c r="K178" s="1" t="b">
        <v>1</v>
      </c>
      <c r="L178" s="3">
        <v>45736.0</v>
      </c>
      <c r="M178" s="1">
        <v>25677.14</v>
      </c>
      <c r="N178" s="1" t="b">
        <f t="shared" si="2"/>
        <v>0</v>
      </c>
      <c r="O178" s="1" t="b">
        <f t="shared" si="3"/>
        <v>0</v>
      </c>
      <c r="P178" s="1" t="str">
        <f t="shared" si="4"/>
        <v>Gulf Coast Telecom|-25677.14</v>
      </c>
      <c r="Q178" s="1" t="str">
        <f t="shared" si="5"/>
        <v>Paid but No Bank Match</v>
      </c>
    </row>
    <row r="179">
      <c r="A179" s="1" t="s">
        <v>222</v>
      </c>
      <c r="B179" s="1" t="s">
        <v>90</v>
      </c>
      <c r="C179" s="3">
        <v>45857.0</v>
      </c>
      <c r="D179" s="3">
        <v>45887.0</v>
      </c>
      <c r="E179" s="1" t="s">
        <v>31</v>
      </c>
      <c r="F179" s="1" t="s">
        <v>47</v>
      </c>
      <c r="G179" s="1">
        <v>7554.28</v>
      </c>
      <c r="H179" s="1" t="s">
        <v>34</v>
      </c>
      <c r="I179" s="1">
        <v>566.57</v>
      </c>
      <c r="J179" s="1">
        <f t="shared" si="1"/>
        <v>8120.85</v>
      </c>
      <c r="K179" s="1" t="b">
        <v>1</v>
      </c>
      <c r="L179" s="3">
        <v>45874.0</v>
      </c>
      <c r="M179" s="1">
        <v>8120.85</v>
      </c>
      <c r="N179" s="1" t="b">
        <f t="shared" si="2"/>
        <v>0</v>
      </c>
      <c r="O179" s="1" t="b">
        <f t="shared" si="3"/>
        <v>0</v>
      </c>
      <c r="P179" s="1" t="str">
        <f t="shared" si="4"/>
        <v>Peak Materials Supply|-8120.85</v>
      </c>
      <c r="Q179" s="1" t="str">
        <f t="shared" si="5"/>
        <v>Paid but No Bank Match</v>
      </c>
    </row>
    <row r="180">
      <c r="A180" s="1" t="s">
        <v>223</v>
      </c>
      <c r="B180" s="1" t="s">
        <v>23</v>
      </c>
      <c r="C180" s="3">
        <v>45761.0</v>
      </c>
      <c r="D180" s="3">
        <v>45791.0</v>
      </c>
      <c r="E180" s="1" t="s">
        <v>54</v>
      </c>
      <c r="F180" s="1" t="s">
        <v>24</v>
      </c>
      <c r="G180" s="1">
        <v>15480.63</v>
      </c>
      <c r="H180" s="1" t="s">
        <v>21</v>
      </c>
      <c r="I180" s="1">
        <v>1083.64</v>
      </c>
      <c r="J180" s="1">
        <f t="shared" si="1"/>
        <v>16564.27</v>
      </c>
      <c r="K180" s="1" t="b">
        <v>1</v>
      </c>
      <c r="L180" s="3">
        <v>45825.0</v>
      </c>
      <c r="M180" s="1">
        <v>16564.27</v>
      </c>
      <c r="N180" s="1" t="b">
        <f t="shared" si="2"/>
        <v>0</v>
      </c>
      <c r="O180" s="1" t="b">
        <f t="shared" si="3"/>
        <v>0</v>
      </c>
      <c r="P180" s="1" t="str">
        <f t="shared" si="4"/>
        <v>Atlantic Fiber Co|-16564.27</v>
      </c>
      <c r="Q180" s="1" t="str">
        <f t="shared" si="5"/>
        <v>Paid but No Bank Match</v>
      </c>
    </row>
    <row r="181">
      <c r="A181" s="1" t="s">
        <v>224</v>
      </c>
      <c r="B181" s="1" t="s">
        <v>49</v>
      </c>
      <c r="C181" s="3">
        <v>45828.0</v>
      </c>
      <c r="D181" s="3">
        <v>45873.0</v>
      </c>
      <c r="E181" s="1" t="s">
        <v>31</v>
      </c>
      <c r="F181" s="1" t="s">
        <v>60</v>
      </c>
      <c r="G181" s="1">
        <v>14345.76</v>
      </c>
      <c r="H181" s="1" t="s">
        <v>45</v>
      </c>
      <c r="I181" s="1">
        <v>932.47</v>
      </c>
      <c r="J181" s="1">
        <f t="shared" si="1"/>
        <v>15278.23</v>
      </c>
      <c r="K181" s="1" t="b">
        <v>1</v>
      </c>
      <c r="L181" s="3">
        <v>45869.0</v>
      </c>
      <c r="M181" s="1">
        <v>15278.23</v>
      </c>
      <c r="N181" s="1" t="b">
        <f t="shared" si="2"/>
        <v>0</v>
      </c>
      <c r="O181" s="1" t="b">
        <f t="shared" si="3"/>
        <v>0</v>
      </c>
      <c r="P181" s="1" t="str">
        <f t="shared" si="4"/>
        <v>Sunshine Equipment|-15278.23</v>
      </c>
      <c r="Q181" s="1" t="str">
        <f t="shared" si="5"/>
        <v>Paid but No Bank Match</v>
      </c>
    </row>
    <row r="182">
      <c r="A182" s="1" t="s">
        <v>225</v>
      </c>
      <c r="B182" s="1" t="s">
        <v>62</v>
      </c>
      <c r="C182" s="3">
        <v>45985.0</v>
      </c>
      <c r="D182" s="3">
        <v>46030.0</v>
      </c>
      <c r="E182" s="1" t="s">
        <v>54</v>
      </c>
      <c r="F182" s="1" t="s">
        <v>28</v>
      </c>
      <c r="G182" s="1">
        <v>19395.54</v>
      </c>
      <c r="H182" s="1" t="s">
        <v>25</v>
      </c>
      <c r="I182" s="1">
        <v>1163.73</v>
      </c>
      <c r="J182" s="1">
        <f t="shared" si="1"/>
        <v>20559.35</v>
      </c>
      <c r="K182" s="1" t="b">
        <v>1</v>
      </c>
      <c r="L182" s="3">
        <v>45998.0</v>
      </c>
      <c r="M182" s="1">
        <v>20559.27</v>
      </c>
      <c r="N182" s="1" t="b">
        <f t="shared" si="2"/>
        <v>1</v>
      </c>
      <c r="O182" s="1" t="b">
        <f t="shared" si="3"/>
        <v>0</v>
      </c>
      <c r="P182" s="1" t="str">
        <f t="shared" si="4"/>
        <v>Bay Area Rentals|-20559.35</v>
      </c>
      <c r="Q182" s="1" t="str">
        <f t="shared" si="5"/>
        <v>Paid but No Bank Match</v>
      </c>
    </row>
    <row r="183">
      <c r="A183" s="1" t="s">
        <v>226</v>
      </c>
      <c r="B183" s="1" t="s">
        <v>30</v>
      </c>
      <c r="C183" s="3">
        <v>45708.0</v>
      </c>
      <c r="D183" s="3">
        <v>45738.0</v>
      </c>
      <c r="E183" s="1" t="s">
        <v>54</v>
      </c>
      <c r="F183" s="1" t="s">
        <v>28</v>
      </c>
      <c r="G183" s="1">
        <v>23391.99</v>
      </c>
      <c r="H183" s="1" t="s">
        <v>21</v>
      </c>
      <c r="I183" s="1">
        <v>1637.44</v>
      </c>
      <c r="J183" s="1">
        <f t="shared" si="1"/>
        <v>25029.43</v>
      </c>
      <c r="K183" s="1" t="b">
        <v>0</v>
      </c>
      <c r="L183" s="4"/>
      <c r="M183" s="1">
        <v>25029.43</v>
      </c>
      <c r="N183" s="1" t="b">
        <f t="shared" si="2"/>
        <v>0</v>
      </c>
      <c r="O183" s="1" t="b">
        <f t="shared" si="3"/>
        <v>1</v>
      </c>
      <c r="P183" s="1" t="str">
        <f t="shared" si="4"/>
        <v>Tidal Contractors|-25029.43</v>
      </c>
      <c r="Q183" s="1" t="str">
        <f t="shared" si="5"/>
        <v>Unpaid</v>
      </c>
    </row>
    <row r="184">
      <c r="A184" s="1" t="s">
        <v>227</v>
      </c>
      <c r="B184" s="1" t="s">
        <v>40</v>
      </c>
      <c r="C184" s="3">
        <v>45914.0</v>
      </c>
      <c r="D184" s="3">
        <v>45959.0</v>
      </c>
      <c r="E184" s="1" t="s">
        <v>54</v>
      </c>
      <c r="F184" s="1" t="s">
        <v>20</v>
      </c>
      <c r="G184" s="1">
        <v>24628.61</v>
      </c>
      <c r="H184" s="1" t="s">
        <v>45</v>
      </c>
      <c r="I184" s="1">
        <v>1600.86</v>
      </c>
      <c r="J184" s="1">
        <f t="shared" si="1"/>
        <v>26229.47</v>
      </c>
      <c r="K184" s="1" t="b">
        <v>1</v>
      </c>
      <c r="L184" s="3">
        <v>45972.0</v>
      </c>
      <c r="M184" s="1">
        <v>26229.47</v>
      </c>
      <c r="N184" s="1" t="b">
        <f t="shared" si="2"/>
        <v>0</v>
      </c>
      <c r="O184" s="1" t="b">
        <f t="shared" si="3"/>
        <v>0</v>
      </c>
      <c r="P184" s="1" t="str">
        <f t="shared" si="4"/>
        <v>Gulf Coast Telecom|-26229.47</v>
      </c>
      <c r="Q184" s="1" t="str">
        <f t="shared" si="5"/>
        <v>Paid but No Bank Match</v>
      </c>
    </row>
    <row r="185">
      <c r="A185" s="1" t="s">
        <v>228</v>
      </c>
      <c r="B185" s="1" t="s">
        <v>27</v>
      </c>
      <c r="C185" s="3">
        <v>45970.0</v>
      </c>
      <c r="D185" s="3">
        <v>46015.0</v>
      </c>
      <c r="E185" s="1" t="s">
        <v>37</v>
      </c>
      <c r="F185" s="1" t="s">
        <v>47</v>
      </c>
      <c r="G185" s="1">
        <v>8130.38</v>
      </c>
      <c r="H185" s="1" t="s">
        <v>21</v>
      </c>
      <c r="I185" s="1">
        <v>569.13</v>
      </c>
      <c r="J185" s="1">
        <f t="shared" si="1"/>
        <v>8699.51</v>
      </c>
      <c r="K185" s="1" t="b">
        <v>1</v>
      </c>
      <c r="L185" s="3">
        <v>45989.0</v>
      </c>
      <c r="M185" s="1">
        <v>8699.51</v>
      </c>
      <c r="N185" s="1" t="b">
        <f t="shared" si="2"/>
        <v>0</v>
      </c>
      <c r="O185" s="1" t="b">
        <f t="shared" si="3"/>
        <v>0</v>
      </c>
      <c r="P185" s="1" t="str">
        <f t="shared" si="4"/>
        <v>Sunline Electrical|-8699.51</v>
      </c>
      <c r="Q185" s="1" t="str">
        <f t="shared" si="5"/>
        <v>Paid but No Bank Match</v>
      </c>
    </row>
    <row r="186">
      <c r="A186" s="1" t="s">
        <v>229</v>
      </c>
      <c r="B186" s="1" t="s">
        <v>49</v>
      </c>
      <c r="C186" s="3">
        <v>45806.0</v>
      </c>
      <c r="D186" s="3">
        <v>45851.0</v>
      </c>
      <c r="E186" s="1" t="s">
        <v>37</v>
      </c>
      <c r="F186" s="1" t="s">
        <v>20</v>
      </c>
      <c r="G186" s="1">
        <v>18734.12</v>
      </c>
      <c r="H186" s="1" t="s">
        <v>25</v>
      </c>
      <c r="I186" s="1">
        <v>1124.05</v>
      </c>
      <c r="J186" s="1">
        <f t="shared" si="1"/>
        <v>19858.17</v>
      </c>
      <c r="K186" s="1" t="b">
        <v>1</v>
      </c>
      <c r="L186" s="3">
        <v>45867.0</v>
      </c>
      <c r="M186" s="1">
        <v>19858.17</v>
      </c>
      <c r="N186" s="1" t="b">
        <f t="shared" si="2"/>
        <v>0</v>
      </c>
      <c r="O186" s="1" t="b">
        <f t="shared" si="3"/>
        <v>0</v>
      </c>
      <c r="P186" s="1" t="str">
        <f t="shared" si="4"/>
        <v>Sunshine Equipment|-19858.17</v>
      </c>
      <c r="Q186" s="1" t="str">
        <f t="shared" si="5"/>
        <v>Paid but No Bank Match</v>
      </c>
    </row>
    <row r="187">
      <c r="A187" s="1" t="s">
        <v>230</v>
      </c>
      <c r="B187" s="1" t="s">
        <v>49</v>
      </c>
      <c r="C187" s="3">
        <v>45774.0</v>
      </c>
      <c r="D187" s="3">
        <v>45819.0</v>
      </c>
      <c r="E187" s="1" t="s">
        <v>50</v>
      </c>
      <c r="F187" s="1" t="s">
        <v>28</v>
      </c>
      <c r="G187" s="1">
        <v>3299.55</v>
      </c>
      <c r="H187" s="1" t="s">
        <v>25</v>
      </c>
      <c r="I187" s="1">
        <v>197.97</v>
      </c>
      <c r="J187" s="1">
        <f t="shared" si="1"/>
        <v>3497.52</v>
      </c>
      <c r="K187" s="1" t="b">
        <v>1</v>
      </c>
      <c r="L187" s="3">
        <v>45816.0</v>
      </c>
      <c r="M187" s="1">
        <v>3497.52</v>
      </c>
      <c r="N187" s="1" t="b">
        <f t="shared" si="2"/>
        <v>0</v>
      </c>
      <c r="O187" s="1" t="b">
        <f t="shared" si="3"/>
        <v>0</v>
      </c>
      <c r="P187" s="1" t="str">
        <f t="shared" si="4"/>
        <v>Sunshine Equipment|-3497.52</v>
      </c>
      <c r="Q187" s="1" t="str">
        <f t="shared" si="5"/>
        <v>Paid but No Bank Match</v>
      </c>
    </row>
    <row r="188">
      <c r="A188" s="1" t="s">
        <v>231</v>
      </c>
      <c r="B188" s="1" t="s">
        <v>23</v>
      </c>
      <c r="C188" s="3">
        <v>45867.0</v>
      </c>
      <c r="D188" s="3">
        <v>45912.0</v>
      </c>
      <c r="E188" s="1" t="s">
        <v>19</v>
      </c>
      <c r="F188" s="1" t="s">
        <v>20</v>
      </c>
      <c r="G188" s="1">
        <v>23002.14</v>
      </c>
      <c r="H188" s="1" t="s">
        <v>25</v>
      </c>
      <c r="I188" s="1">
        <v>1380.13</v>
      </c>
      <c r="J188" s="1">
        <f t="shared" si="1"/>
        <v>24380.96</v>
      </c>
      <c r="K188" s="1" t="b">
        <v>1</v>
      </c>
      <c r="L188" s="3">
        <v>45930.0</v>
      </c>
      <c r="M188" s="1">
        <v>24382.27</v>
      </c>
      <c r="N188" s="1" t="b">
        <f t="shared" si="2"/>
        <v>1</v>
      </c>
      <c r="O188" s="1" t="b">
        <f t="shared" si="3"/>
        <v>0</v>
      </c>
      <c r="P188" s="1" t="str">
        <f t="shared" si="4"/>
        <v>Atlantic Fiber Co|-24380.96</v>
      </c>
      <c r="Q188" s="1" t="str">
        <f t="shared" si="5"/>
        <v>Paid but No Bank Match</v>
      </c>
    </row>
    <row r="189">
      <c r="A189" s="1" t="s">
        <v>232</v>
      </c>
      <c r="B189" s="1" t="s">
        <v>42</v>
      </c>
      <c r="C189" s="3">
        <v>46021.0</v>
      </c>
      <c r="D189" s="3">
        <v>46066.0</v>
      </c>
      <c r="E189" s="1" t="s">
        <v>54</v>
      </c>
      <c r="F189" s="1" t="s">
        <v>28</v>
      </c>
      <c r="G189" s="1">
        <v>6581.55</v>
      </c>
      <c r="H189" s="1" t="s">
        <v>25</v>
      </c>
      <c r="I189" s="1">
        <v>394.89</v>
      </c>
      <c r="J189" s="1">
        <f t="shared" si="1"/>
        <v>6976.44</v>
      </c>
      <c r="K189" s="1" t="b">
        <v>0</v>
      </c>
      <c r="L189" s="4"/>
      <c r="M189" s="1">
        <v>6976.44</v>
      </c>
      <c r="N189" s="1" t="b">
        <f t="shared" si="2"/>
        <v>0</v>
      </c>
      <c r="O189" s="1" t="b">
        <f t="shared" si="3"/>
        <v>1</v>
      </c>
      <c r="P189" s="1" t="str">
        <f t="shared" si="4"/>
        <v>BrightPower Partners|-6976.44</v>
      </c>
      <c r="Q189" s="1" t="str">
        <f t="shared" si="5"/>
        <v>Unpaid</v>
      </c>
    </row>
    <row r="190">
      <c r="A190" s="1" t="s">
        <v>233</v>
      </c>
      <c r="B190" s="1" t="s">
        <v>27</v>
      </c>
      <c r="C190" s="3">
        <v>45855.0</v>
      </c>
      <c r="D190" s="3">
        <v>45885.0</v>
      </c>
      <c r="E190" s="1" t="s">
        <v>31</v>
      </c>
      <c r="F190" s="1" t="s">
        <v>20</v>
      </c>
      <c r="G190" s="1">
        <v>8131.09</v>
      </c>
      <c r="H190" s="1" t="s">
        <v>34</v>
      </c>
      <c r="I190" s="1">
        <v>609.83</v>
      </c>
      <c r="J190" s="1">
        <f t="shared" si="1"/>
        <v>8740.92</v>
      </c>
      <c r="K190" s="1" t="b">
        <v>1</v>
      </c>
      <c r="L190" s="3">
        <v>45881.0</v>
      </c>
      <c r="M190" s="1">
        <v>8740.92</v>
      </c>
      <c r="N190" s="1" t="b">
        <f t="shared" si="2"/>
        <v>0</v>
      </c>
      <c r="O190" s="1" t="b">
        <f t="shared" si="3"/>
        <v>0</v>
      </c>
      <c r="P190" s="1" t="str">
        <f t="shared" si="4"/>
        <v>Sunline Electrical|-8740.92</v>
      </c>
      <c r="Q190" s="1" t="str">
        <f t="shared" si="5"/>
        <v>Paid but No Bank Match</v>
      </c>
    </row>
    <row r="191">
      <c r="A191" s="1" t="s">
        <v>234</v>
      </c>
      <c r="B191" s="1" t="s">
        <v>49</v>
      </c>
      <c r="C191" s="3">
        <v>45811.0</v>
      </c>
      <c r="D191" s="3">
        <v>45841.0</v>
      </c>
      <c r="E191" s="1" t="s">
        <v>31</v>
      </c>
      <c r="F191" s="1" t="s">
        <v>47</v>
      </c>
      <c r="G191" s="1">
        <v>16756.67</v>
      </c>
      <c r="H191" s="1" t="s">
        <v>34</v>
      </c>
      <c r="I191" s="1">
        <v>1256.75</v>
      </c>
      <c r="J191" s="1">
        <f t="shared" si="1"/>
        <v>18013.42</v>
      </c>
      <c r="K191" s="1" t="b">
        <v>1</v>
      </c>
      <c r="L191" s="3">
        <v>45864.0</v>
      </c>
      <c r="M191" s="1">
        <v>18013.42</v>
      </c>
      <c r="N191" s="1" t="b">
        <f t="shared" si="2"/>
        <v>0</v>
      </c>
      <c r="O191" s="1" t="b">
        <f t="shared" si="3"/>
        <v>0</v>
      </c>
      <c r="P191" s="1" t="str">
        <f t="shared" si="4"/>
        <v>Sunshine Equipment|-18013.42</v>
      </c>
      <c r="Q191" s="1" t="str">
        <f t="shared" si="5"/>
        <v>Paid but No Bank Match</v>
      </c>
    </row>
    <row r="192">
      <c r="A192" s="1" t="s">
        <v>235</v>
      </c>
      <c r="B192" s="1" t="s">
        <v>42</v>
      </c>
      <c r="C192" s="3">
        <v>45805.0</v>
      </c>
      <c r="D192" s="3">
        <v>45835.0</v>
      </c>
      <c r="E192" s="1" t="s">
        <v>54</v>
      </c>
      <c r="F192" s="1" t="s">
        <v>28</v>
      </c>
      <c r="G192" s="1">
        <v>2591.07</v>
      </c>
      <c r="H192" s="1" t="s">
        <v>34</v>
      </c>
      <c r="I192" s="1">
        <v>194.33</v>
      </c>
      <c r="J192" s="1">
        <f t="shared" si="1"/>
        <v>2785.4</v>
      </c>
      <c r="K192" s="1" t="b">
        <v>0</v>
      </c>
      <c r="L192" s="4"/>
      <c r="M192" s="1">
        <v>2785.4</v>
      </c>
      <c r="N192" s="1" t="b">
        <f t="shared" si="2"/>
        <v>0</v>
      </c>
      <c r="O192" s="1" t="b">
        <f t="shared" si="3"/>
        <v>1</v>
      </c>
      <c r="P192" s="1" t="str">
        <f t="shared" si="4"/>
        <v>BrightPower Partners|-2785.4</v>
      </c>
      <c r="Q192" s="1" t="str">
        <f t="shared" si="5"/>
        <v>Unpaid</v>
      </c>
    </row>
    <row r="193">
      <c r="A193" s="1" t="s">
        <v>236</v>
      </c>
      <c r="B193" s="1" t="s">
        <v>49</v>
      </c>
      <c r="C193" s="3">
        <v>45706.0</v>
      </c>
      <c r="D193" s="3">
        <v>45751.0</v>
      </c>
      <c r="E193" s="1" t="s">
        <v>37</v>
      </c>
      <c r="F193" s="1" t="s">
        <v>47</v>
      </c>
      <c r="G193" s="1">
        <v>8093.45</v>
      </c>
      <c r="H193" s="1" t="s">
        <v>34</v>
      </c>
      <c r="I193" s="1">
        <v>607.01</v>
      </c>
      <c r="J193" s="1">
        <f t="shared" si="1"/>
        <v>8700.46</v>
      </c>
      <c r="K193" s="1" t="b">
        <v>1</v>
      </c>
      <c r="L193" s="3">
        <v>45761.0</v>
      </c>
      <c r="M193" s="1">
        <v>8700.46</v>
      </c>
      <c r="N193" s="1" t="b">
        <f t="shared" si="2"/>
        <v>0</v>
      </c>
      <c r="O193" s="1" t="b">
        <f t="shared" si="3"/>
        <v>0</v>
      </c>
      <c r="P193" s="1" t="str">
        <f t="shared" si="4"/>
        <v>Sunshine Equipment|-8700.46</v>
      </c>
      <c r="Q193" s="1" t="str">
        <f t="shared" si="5"/>
        <v>Paid but No Bank Match</v>
      </c>
    </row>
    <row r="194">
      <c r="A194" s="1" t="s">
        <v>237</v>
      </c>
      <c r="B194" s="1" t="s">
        <v>57</v>
      </c>
      <c r="C194" s="3">
        <v>45868.0</v>
      </c>
      <c r="D194" s="3">
        <v>45913.0</v>
      </c>
      <c r="E194" s="1" t="s">
        <v>37</v>
      </c>
      <c r="F194" s="1" t="s">
        <v>47</v>
      </c>
      <c r="G194" s="1">
        <v>11971.68</v>
      </c>
      <c r="H194" s="1" t="s">
        <v>34</v>
      </c>
      <c r="I194" s="1">
        <v>897.88</v>
      </c>
      <c r="J194" s="1">
        <f t="shared" si="1"/>
        <v>12869.56</v>
      </c>
      <c r="K194" s="1" t="b">
        <v>1</v>
      </c>
      <c r="L194" s="3">
        <v>45902.0</v>
      </c>
      <c r="M194" s="1">
        <v>12869.56</v>
      </c>
      <c r="N194" s="1" t="b">
        <f t="shared" si="2"/>
        <v>0</v>
      </c>
      <c r="O194" s="1" t="b">
        <f t="shared" si="3"/>
        <v>0</v>
      </c>
      <c r="P194" s="1" t="str">
        <f t="shared" si="4"/>
        <v>Florida Line Crew LLC|-12869.56</v>
      </c>
      <c r="Q194" s="1" t="str">
        <f t="shared" si="5"/>
        <v>Paid but No Bank Match</v>
      </c>
    </row>
    <row r="195">
      <c r="A195" s="1" t="s">
        <v>238</v>
      </c>
      <c r="B195" s="1" t="s">
        <v>59</v>
      </c>
      <c r="C195" s="3">
        <v>45801.0</v>
      </c>
      <c r="D195" s="3">
        <v>45831.0</v>
      </c>
      <c r="E195" s="1" t="s">
        <v>50</v>
      </c>
      <c r="F195" s="1" t="s">
        <v>20</v>
      </c>
      <c r="G195" s="1">
        <v>2109.86</v>
      </c>
      <c r="H195" s="1" t="s">
        <v>21</v>
      </c>
      <c r="I195" s="1">
        <v>147.69</v>
      </c>
      <c r="J195" s="1">
        <f t="shared" si="1"/>
        <v>2257.55</v>
      </c>
      <c r="K195" s="1" t="b">
        <v>1</v>
      </c>
      <c r="L195" s="3">
        <v>45852.0</v>
      </c>
      <c r="M195" s="1">
        <v>2257.55</v>
      </c>
      <c r="N195" s="1" t="b">
        <f t="shared" si="2"/>
        <v>0</v>
      </c>
      <c r="O195" s="1" t="b">
        <f t="shared" si="3"/>
        <v>0</v>
      </c>
      <c r="P195" s="1" t="str">
        <f t="shared" si="4"/>
        <v>Skyline Engineering|-2257.55</v>
      </c>
      <c r="Q195" s="1" t="str">
        <f t="shared" si="5"/>
        <v>Paid but No Bank Match</v>
      </c>
    </row>
    <row r="196">
      <c r="A196" s="1" t="s">
        <v>239</v>
      </c>
      <c r="B196" s="1" t="s">
        <v>42</v>
      </c>
      <c r="C196" s="3">
        <v>45851.0</v>
      </c>
      <c r="D196" s="3">
        <v>45881.0</v>
      </c>
      <c r="E196" s="1" t="s">
        <v>54</v>
      </c>
      <c r="F196" s="1" t="s">
        <v>24</v>
      </c>
      <c r="G196" s="1">
        <v>12286.65</v>
      </c>
      <c r="H196" s="1" t="s">
        <v>34</v>
      </c>
      <c r="I196" s="1">
        <v>921.5</v>
      </c>
      <c r="J196" s="1">
        <f t="shared" si="1"/>
        <v>13208.15</v>
      </c>
      <c r="K196" s="1" t="b">
        <v>1</v>
      </c>
      <c r="L196" s="3">
        <v>45906.0</v>
      </c>
      <c r="M196" s="1">
        <v>13208.15</v>
      </c>
      <c r="N196" s="1" t="b">
        <f t="shared" si="2"/>
        <v>0</v>
      </c>
      <c r="O196" s="1" t="b">
        <f t="shared" si="3"/>
        <v>0</v>
      </c>
      <c r="P196" s="1" t="str">
        <f t="shared" si="4"/>
        <v>BrightPower Partners|-13208.15</v>
      </c>
      <c r="Q196" s="1" t="str">
        <f t="shared" si="5"/>
        <v>Paid but No Bank Match</v>
      </c>
    </row>
    <row r="197">
      <c r="A197" s="1" t="s">
        <v>240</v>
      </c>
      <c r="B197" s="1" t="s">
        <v>49</v>
      </c>
      <c r="C197" s="3">
        <v>45976.0</v>
      </c>
      <c r="D197" s="3">
        <v>46006.0</v>
      </c>
      <c r="E197" s="1" t="s">
        <v>37</v>
      </c>
      <c r="F197" s="1" t="s">
        <v>24</v>
      </c>
      <c r="G197" s="1">
        <v>8691.89</v>
      </c>
      <c r="H197" s="1" t="s">
        <v>34</v>
      </c>
      <c r="I197" s="1">
        <v>651.89</v>
      </c>
      <c r="J197" s="1">
        <f t="shared" si="1"/>
        <v>9343.78</v>
      </c>
      <c r="K197" s="1" t="b">
        <v>1</v>
      </c>
      <c r="L197" s="3">
        <v>45983.0</v>
      </c>
      <c r="M197" s="1">
        <v>9343.78</v>
      </c>
      <c r="N197" s="1" t="b">
        <f t="shared" si="2"/>
        <v>0</v>
      </c>
      <c r="O197" s="1" t="b">
        <f t="shared" si="3"/>
        <v>0</v>
      </c>
      <c r="P197" s="1" t="str">
        <f t="shared" si="4"/>
        <v>Sunshine Equipment|-9343.78</v>
      </c>
      <c r="Q197" s="1" t="str">
        <f t="shared" si="5"/>
        <v>Paid but No Bank Match</v>
      </c>
    </row>
    <row r="198">
      <c r="A198" s="1" t="s">
        <v>241</v>
      </c>
      <c r="B198" s="1" t="s">
        <v>57</v>
      </c>
      <c r="C198" s="3">
        <v>45945.0</v>
      </c>
      <c r="D198" s="3">
        <v>45975.0</v>
      </c>
      <c r="E198" s="1" t="s">
        <v>37</v>
      </c>
      <c r="F198" s="1" t="s">
        <v>20</v>
      </c>
      <c r="G198" s="1">
        <v>22487.05</v>
      </c>
      <c r="H198" s="1" t="s">
        <v>45</v>
      </c>
      <c r="I198" s="1">
        <v>1461.66</v>
      </c>
      <c r="J198" s="1">
        <f t="shared" si="1"/>
        <v>23948.68</v>
      </c>
      <c r="K198" s="1" t="b">
        <v>1</v>
      </c>
      <c r="L198" s="3">
        <v>46004.0</v>
      </c>
      <c r="M198" s="1">
        <v>23948.71</v>
      </c>
      <c r="N198" s="1" t="b">
        <f t="shared" si="2"/>
        <v>1</v>
      </c>
      <c r="O198" s="1" t="b">
        <f t="shared" si="3"/>
        <v>0</v>
      </c>
      <c r="P198" s="1" t="str">
        <f t="shared" si="4"/>
        <v>Florida Line Crew LLC|-23948.68</v>
      </c>
      <c r="Q198" s="1" t="str">
        <f t="shared" si="5"/>
        <v>Paid but No Bank Match</v>
      </c>
    </row>
    <row r="199">
      <c r="A199" s="1" t="s">
        <v>242</v>
      </c>
      <c r="B199" s="1" t="s">
        <v>62</v>
      </c>
      <c r="C199" s="3">
        <v>45945.0</v>
      </c>
      <c r="D199" s="3">
        <v>45975.0</v>
      </c>
      <c r="E199" s="1" t="s">
        <v>50</v>
      </c>
      <c r="F199" s="1" t="s">
        <v>47</v>
      </c>
      <c r="G199" s="1">
        <v>16643.64</v>
      </c>
      <c r="H199" s="1" t="s">
        <v>21</v>
      </c>
      <c r="I199" s="1">
        <v>1165.05</v>
      </c>
      <c r="J199" s="1">
        <f t="shared" si="1"/>
        <v>17808.69</v>
      </c>
      <c r="K199" s="1" t="b">
        <v>1</v>
      </c>
      <c r="L199" s="3">
        <v>46008.0</v>
      </c>
      <c r="M199" s="1">
        <v>17808.69</v>
      </c>
      <c r="N199" s="1" t="b">
        <f t="shared" si="2"/>
        <v>0</v>
      </c>
      <c r="O199" s="1" t="b">
        <f t="shared" si="3"/>
        <v>0</v>
      </c>
      <c r="P199" s="1" t="str">
        <f t="shared" si="4"/>
        <v>Bay Area Rentals|-17808.69</v>
      </c>
      <c r="Q199" s="1" t="str">
        <f t="shared" si="5"/>
        <v>Paid but No Bank Match</v>
      </c>
    </row>
    <row r="200">
      <c r="A200" s="1" t="s">
        <v>243</v>
      </c>
      <c r="B200" s="1" t="s">
        <v>36</v>
      </c>
      <c r="C200" s="3">
        <v>45912.0</v>
      </c>
      <c r="D200" s="3">
        <v>45942.0</v>
      </c>
      <c r="E200" s="1" t="s">
        <v>19</v>
      </c>
      <c r="F200" s="1" t="s">
        <v>47</v>
      </c>
      <c r="G200" s="1">
        <v>3050.66</v>
      </c>
      <c r="H200" s="1" t="s">
        <v>21</v>
      </c>
      <c r="I200" s="1">
        <v>213.55</v>
      </c>
      <c r="J200" s="1">
        <f t="shared" si="1"/>
        <v>3264.21</v>
      </c>
      <c r="K200" s="1" t="b">
        <v>1</v>
      </c>
      <c r="L200" s="3">
        <v>45967.0</v>
      </c>
      <c r="M200" s="1">
        <v>3264.21</v>
      </c>
      <c r="N200" s="1" t="b">
        <f t="shared" si="2"/>
        <v>0</v>
      </c>
      <c r="O200" s="1" t="b">
        <f t="shared" si="3"/>
        <v>0</v>
      </c>
      <c r="P200" s="1" t="str">
        <f t="shared" si="4"/>
        <v>Tampa Grid Services|-3264.21</v>
      </c>
      <c r="Q200" s="1" t="str">
        <f t="shared" si="5"/>
        <v>Paid but No Bank Match</v>
      </c>
    </row>
    <row r="201">
      <c r="A201" s="1" t="s">
        <v>244</v>
      </c>
      <c r="B201" s="1" t="s">
        <v>49</v>
      </c>
      <c r="C201" s="3">
        <v>45754.0</v>
      </c>
      <c r="D201" s="3">
        <v>45784.0</v>
      </c>
      <c r="E201" s="1" t="s">
        <v>50</v>
      </c>
      <c r="F201" s="1" t="s">
        <v>47</v>
      </c>
      <c r="G201" s="1">
        <v>18159.92</v>
      </c>
      <c r="H201" s="1" t="s">
        <v>45</v>
      </c>
      <c r="I201" s="1">
        <v>1180.39</v>
      </c>
      <c r="J201" s="1">
        <f t="shared" si="1"/>
        <v>19340.31</v>
      </c>
      <c r="K201" s="1" t="b">
        <v>1</v>
      </c>
      <c r="L201" s="3">
        <v>45790.0</v>
      </c>
      <c r="M201" s="1">
        <v>19340.31</v>
      </c>
      <c r="N201" s="1" t="b">
        <f t="shared" si="2"/>
        <v>0</v>
      </c>
      <c r="O201" s="1" t="b">
        <f t="shared" si="3"/>
        <v>0</v>
      </c>
      <c r="P201" s="1" t="str">
        <f t="shared" si="4"/>
        <v>Sunshine Equipment|-19340.31</v>
      </c>
      <c r="Q201" s="1" t="str">
        <f t="shared" si="5"/>
        <v>Paid but No Bank Match</v>
      </c>
    </row>
    <row r="202">
      <c r="A202" s="1" t="s">
        <v>245</v>
      </c>
      <c r="B202" s="1" t="s">
        <v>49</v>
      </c>
      <c r="C202" s="3">
        <v>45777.0</v>
      </c>
      <c r="D202" s="3">
        <v>45822.0</v>
      </c>
      <c r="E202" s="1" t="s">
        <v>19</v>
      </c>
      <c r="F202" s="1" t="s">
        <v>47</v>
      </c>
      <c r="G202" s="1">
        <v>24084.91</v>
      </c>
      <c r="H202" s="1" t="s">
        <v>45</v>
      </c>
      <c r="I202" s="1">
        <v>1565.52</v>
      </c>
      <c r="J202" s="1">
        <f t="shared" si="1"/>
        <v>25650.63</v>
      </c>
      <c r="K202" s="1" t="b">
        <v>0</v>
      </c>
      <c r="L202" s="4"/>
      <c r="M202" s="1">
        <v>25650.43</v>
      </c>
      <c r="N202" s="1" t="b">
        <f t="shared" si="2"/>
        <v>1</v>
      </c>
      <c r="O202" s="1" t="b">
        <f t="shared" si="3"/>
        <v>1</v>
      </c>
      <c r="P202" s="1" t="str">
        <f t="shared" si="4"/>
        <v>Sunshine Equipment|-25650.63</v>
      </c>
      <c r="Q202" s="1" t="str">
        <f t="shared" si="5"/>
        <v>Unpaid</v>
      </c>
    </row>
    <row r="203">
      <c r="A203" s="1" t="s">
        <v>246</v>
      </c>
      <c r="B203" s="1" t="s">
        <v>18</v>
      </c>
      <c r="C203" s="3">
        <v>45839.0</v>
      </c>
      <c r="D203" s="3">
        <v>45869.0</v>
      </c>
      <c r="E203" s="1" t="s">
        <v>19</v>
      </c>
      <c r="F203" s="1" t="s">
        <v>47</v>
      </c>
      <c r="G203" s="1">
        <v>7682.12</v>
      </c>
      <c r="H203" s="1" t="s">
        <v>45</v>
      </c>
      <c r="I203" s="1">
        <v>499.34</v>
      </c>
      <c r="J203" s="1">
        <f t="shared" si="1"/>
        <v>8181.46</v>
      </c>
      <c r="K203" s="1" t="b">
        <v>0</v>
      </c>
      <c r="L203" s="4"/>
      <c r="M203" s="1">
        <v>8181.46</v>
      </c>
      <c r="N203" s="1" t="b">
        <f t="shared" si="2"/>
        <v>0</v>
      </c>
      <c r="O203" s="1" t="b">
        <f t="shared" si="3"/>
        <v>1</v>
      </c>
      <c r="P203" s="1" t="str">
        <f t="shared" si="4"/>
        <v>Tri-County Services|-8181.46</v>
      </c>
      <c r="Q203" s="1" t="str">
        <f t="shared" si="5"/>
        <v>Unpaid</v>
      </c>
    </row>
    <row r="204">
      <c r="A204" s="1" t="s">
        <v>247</v>
      </c>
      <c r="B204" s="1" t="s">
        <v>59</v>
      </c>
      <c r="C204" s="3">
        <v>45664.0</v>
      </c>
      <c r="D204" s="3">
        <v>45709.0</v>
      </c>
      <c r="E204" s="1" t="s">
        <v>54</v>
      </c>
      <c r="F204" s="1" t="s">
        <v>20</v>
      </c>
      <c r="G204" s="1">
        <v>18529.66</v>
      </c>
      <c r="H204" s="1" t="s">
        <v>25</v>
      </c>
      <c r="I204" s="1">
        <v>2223.56</v>
      </c>
      <c r="J204" s="1">
        <f t="shared" si="1"/>
        <v>20753.22</v>
      </c>
      <c r="K204" s="1" t="b">
        <v>1</v>
      </c>
      <c r="L204" s="3">
        <v>45687.0</v>
      </c>
      <c r="M204" s="1">
        <v>20753.22</v>
      </c>
      <c r="N204" s="1" t="b">
        <f t="shared" si="2"/>
        <v>0</v>
      </c>
      <c r="O204" s="1" t="b">
        <f t="shared" si="3"/>
        <v>0</v>
      </c>
      <c r="P204" s="1" t="str">
        <f t="shared" si="4"/>
        <v>Skyline Engineering|-20753.22</v>
      </c>
      <c r="Q204" s="1" t="str">
        <f t="shared" si="5"/>
        <v>Paid but No Bank Match</v>
      </c>
    </row>
    <row r="205">
      <c r="A205" s="1" t="s">
        <v>248</v>
      </c>
      <c r="B205" s="1" t="s">
        <v>90</v>
      </c>
      <c r="C205" s="3">
        <v>45693.0</v>
      </c>
      <c r="D205" s="3">
        <v>45723.0</v>
      </c>
      <c r="E205" s="1" t="s">
        <v>54</v>
      </c>
      <c r="F205" s="1" t="s">
        <v>47</v>
      </c>
      <c r="G205" s="1">
        <v>17746.68</v>
      </c>
      <c r="H205" s="1" t="s">
        <v>34</v>
      </c>
      <c r="I205" s="1">
        <v>1331.0</v>
      </c>
      <c r="J205" s="1">
        <f t="shared" si="1"/>
        <v>19077.68</v>
      </c>
      <c r="K205" s="1" t="b">
        <v>0</v>
      </c>
      <c r="L205" s="4"/>
      <c r="M205" s="1">
        <v>19077.68</v>
      </c>
      <c r="N205" s="1" t="b">
        <f t="shared" si="2"/>
        <v>0</v>
      </c>
      <c r="O205" s="1" t="b">
        <f t="shared" si="3"/>
        <v>1</v>
      </c>
      <c r="P205" s="1" t="str">
        <f t="shared" si="4"/>
        <v>Peak Materials Supply|-19077.68</v>
      </c>
      <c r="Q205" s="1" t="str">
        <f t="shared" si="5"/>
        <v>Unpaid</v>
      </c>
    </row>
    <row r="206">
      <c r="A206" s="1" t="s">
        <v>249</v>
      </c>
      <c r="B206" s="1" t="s">
        <v>23</v>
      </c>
      <c r="C206" s="3">
        <v>45854.0</v>
      </c>
      <c r="D206" s="3">
        <v>45899.0</v>
      </c>
      <c r="E206" s="1" t="s">
        <v>31</v>
      </c>
      <c r="F206" s="1" t="s">
        <v>20</v>
      </c>
      <c r="G206" s="1">
        <v>6855.87</v>
      </c>
      <c r="H206" s="1" t="s">
        <v>45</v>
      </c>
      <c r="I206" s="1">
        <v>445.63</v>
      </c>
      <c r="J206" s="1">
        <f t="shared" si="1"/>
        <v>7301.5</v>
      </c>
      <c r="K206" s="1" t="b">
        <v>1</v>
      </c>
      <c r="L206" s="3">
        <v>45870.0</v>
      </c>
      <c r="M206" s="1">
        <v>7301.5</v>
      </c>
      <c r="N206" s="1" t="b">
        <f t="shared" si="2"/>
        <v>0</v>
      </c>
      <c r="O206" s="1" t="b">
        <f t="shared" si="3"/>
        <v>0</v>
      </c>
      <c r="P206" s="1" t="str">
        <f t="shared" si="4"/>
        <v>Atlantic Fiber Co|-7301.5</v>
      </c>
      <c r="Q206" s="1" t="str">
        <f t="shared" si="5"/>
        <v>Paid but No Bank Match</v>
      </c>
    </row>
    <row r="207">
      <c r="A207" s="1" t="s">
        <v>250</v>
      </c>
      <c r="B207" s="1" t="s">
        <v>42</v>
      </c>
      <c r="C207" s="3">
        <v>45677.0</v>
      </c>
      <c r="D207" s="3">
        <v>45722.0</v>
      </c>
      <c r="E207" s="1" t="s">
        <v>19</v>
      </c>
      <c r="F207" s="1" t="s">
        <v>47</v>
      </c>
      <c r="G207" s="1">
        <v>10530.59</v>
      </c>
      <c r="H207" s="1" t="s">
        <v>45</v>
      </c>
      <c r="I207" s="1">
        <v>684.49</v>
      </c>
      <c r="J207" s="1">
        <f t="shared" si="1"/>
        <v>11216.22</v>
      </c>
      <c r="K207" s="1" t="b">
        <v>1</v>
      </c>
      <c r="L207" s="3">
        <v>45734.0</v>
      </c>
      <c r="M207" s="1">
        <v>11215.08</v>
      </c>
      <c r="N207" s="1" t="b">
        <f t="shared" si="2"/>
        <v>1</v>
      </c>
      <c r="O207" s="1" t="b">
        <f t="shared" si="3"/>
        <v>0</v>
      </c>
      <c r="P207" s="1" t="str">
        <f t="shared" si="4"/>
        <v>BrightPower Partners|-11216.22</v>
      </c>
      <c r="Q207" s="1" t="str">
        <f t="shared" si="5"/>
        <v>Paid but No Bank Match</v>
      </c>
    </row>
    <row r="208">
      <c r="A208" s="1" t="s">
        <v>251</v>
      </c>
      <c r="B208" s="1" t="s">
        <v>27</v>
      </c>
      <c r="C208" s="3">
        <v>46012.0</v>
      </c>
      <c r="D208" s="3">
        <v>46042.0</v>
      </c>
      <c r="E208" s="1" t="s">
        <v>31</v>
      </c>
      <c r="F208" s="1" t="s">
        <v>60</v>
      </c>
      <c r="G208" s="1">
        <v>19208.34</v>
      </c>
      <c r="H208" s="1" t="s">
        <v>25</v>
      </c>
      <c r="I208" s="1">
        <v>1152.5</v>
      </c>
      <c r="J208" s="1">
        <f t="shared" si="1"/>
        <v>20360.84</v>
      </c>
      <c r="K208" s="1" t="b">
        <v>0</v>
      </c>
      <c r="L208" s="4"/>
      <c r="M208" s="1">
        <v>20360.84</v>
      </c>
      <c r="N208" s="1" t="b">
        <f t="shared" si="2"/>
        <v>0</v>
      </c>
      <c r="O208" s="1" t="b">
        <f t="shared" si="3"/>
        <v>1</v>
      </c>
      <c r="P208" s="1" t="str">
        <f t="shared" si="4"/>
        <v>Sunline Electrical|-20360.84</v>
      </c>
      <c r="Q208" s="1" t="str">
        <f t="shared" si="5"/>
        <v>Unpaid</v>
      </c>
    </row>
    <row r="209">
      <c r="A209" s="1" t="s">
        <v>252</v>
      </c>
      <c r="B209" s="1" t="s">
        <v>90</v>
      </c>
      <c r="C209" s="3">
        <v>45777.0</v>
      </c>
      <c r="D209" s="3">
        <v>45807.0</v>
      </c>
      <c r="E209" s="1" t="s">
        <v>31</v>
      </c>
      <c r="F209" s="1" t="s">
        <v>51</v>
      </c>
      <c r="G209" s="1">
        <v>12041.1</v>
      </c>
      <c r="H209" s="1" t="s">
        <v>21</v>
      </c>
      <c r="I209" s="1">
        <v>842.88</v>
      </c>
      <c r="J209" s="1">
        <f t="shared" si="1"/>
        <v>12883.98</v>
      </c>
      <c r="K209" s="1" t="b">
        <v>1</v>
      </c>
      <c r="L209" s="3">
        <v>45795.0</v>
      </c>
      <c r="M209" s="1">
        <v>12883.98</v>
      </c>
      <c r="N209" s="1" t="b">
        <f t="shared" si="2"/>
        <v>0</v>
      </c>
      <c r="O209" s="1" t="b">
        <f t="shared" si="3"/>
        <v>0</v>
      </c>
      <c r="P209" s="1" t="str">
        <f t="shared" si="4"/>
        <v>Peak Materials Supply|-12883.98</v>
      </c>
      <c r="Q209" s="1" t="str">
        <f t="shared" si="5"/>
        <v>Paid but No Bank Match</v>
      </c>
    </row>
    <row r="210">
      <c r="A210" s="1" t="s">
        <v>253</v>
      </c>
      <c r="B210" s="1" t="s">
        <v>18</v>
      </c>
      <c r="C210" s="3">
        <v>45666.0</v>
      </c>
      <c r="D210" s="3">
        <v>45696.0</v>
      </c>
      <c r="E210" s="1" t="s">
        <v>31</v>
      </c>
      <c r="F210" s="1" t="s">
        <v>20</v>
      </c>
      <c r="G210" s="1">
        <v>16020.22</v>
      </c>
      <c r="H210" s="1" t="s">
        <v>21</v>
      </c>
      <c r="I210" s="1">
        <v>1121.42</v>
      </c>
      <c r="J210" s="1">
        <f t="shared" si="1"/>
        <v>17141.64</v>
      </c>
      <c r="K210" s="1" t="b">
        <v>1</v>
      </c>
      <c r="L210" s="3">
        <v>45692.0</v>
      </c>
      <c r="M210" s="1">
        <v>17141.64</v>
      </c>
      <c r="N210" s="1" t="b">
        <f t="shared" si="2"/>
        <v>0</v>
      </c>
      <c r="O210" s="1" t="b">
        <f t="shared" si="3"/>
        <v>0</v>
      </c>
      <c r="P210" s="1" t="str">
        <f t="shared" si="4"/>
        <v>Tri-County Services|-17141.64</v>
      </c>
      <c r="Q210" s="1" t="str">
        <f t="shared" si="5"/>
        <v>Paid but No Bank Match</v>
      </c>
    </row>
    <row r="211">
      <c r="A211" s="1" t="s">
        <v>254</v>
      </c>
      <c r="B211" s="1" t="s">
        <v>18</v>
      </c>
      <c r="C211" s="3">
        <v>45892.0</v>
      </c>
      <c r="D211" s="3">
        <v>45922.0</v>
      </c>
      <c r="E211" s="1" t="s">
        <v>19</v>
      </c>
      <c r="F211" s="1" t="s">
        <v>20</v>
      </c>
      <c r="G211" s="1">
        <v>3740.77</v>
      </c>
      <c r="H211" s="1" t="s">
        <v>25</v>
      </c>
      <c r="I211" s="1">
        <v>224.45</v>
      </c>
      <c r="J211" s="1">
        <f t="shared" si="1"/>
        <v>3965.22</v>
      </c>
      <c r="K211" s="1" t="b">
        <v>0</v>
      </c>
      <c r="L211" s="4"/>
      <c r="M211" s="1">
        <v>3965.22</v>
      </c>
      <c r="N211" s="1" t="b">
        <f t="shared" si="2"/>
        <v>0</v>
      </c>
      <c r="O211" s="1" t="b">
        <f t="shared" si="3"/>
        <v>1</v>
      </c>
      <c r="P211" s="1" t="str">
        <f t="shared" si="4"/>
        <v>Tri-County Services|-3965.22</v>
      </c>
      <c r="Q211" s="1" t="str">
        <f t="shared" si="5"/>
        <v>Unpaid</v>
      </c>
    </row>
    <row r="212">
      <c r="A212" s="1" t="s">
        <v>255</v>
      </c>
      <c r="B212" s="1" t="s">
        <v>27</v>
      </c>
      <c r="C212" s="3">
        <v>45755.0</v>
      </c>
      <c r="D212" s="3">
        <v>45800.0</v>
      </c>
      <c r="E212" s="1" t="s">
        <v>50</v>
      </c>
      <c r="F212" s="1" t="s">
        <v>24</v>
      </c>
      <c r="G212" s="1">
        <v>950.57</v>
      </c>
      <c r="H212" s="1" t="s">
        <v>45</v>
      </c>
      <c r="I212" s="1">
        <v>61.79</v>
      </c>
      <c r="J212" s="1">
        <f t="shared" si="1"/>
        <v>1011.92</v>
      </c>
      <c r="K212" s="1" t="b">
        <v>0</v>
      </c>
      <c r="L212" s="4"/>
      <c r="M212" s="1">
        <v>1012.36</v>
      </c>
      <c r="N212" s="1" t="b">
        <f t="shared" si="2"/>
        <v>1</v>
      </c>
      <c r="O212" s="1" t="b">
        <f t="shared" si="3"/>
        <v>1</v>
      </c>
      <c r="P212" s="1" t="str">
        <f t="shared" si="4"/>
        <v>Sunline Electrical|-1011.92</v>
      </c>
      <c r="Q212" s="1" t="str">
        <f t="shared" si="5"/>
        <v>Unpaid</v>
      </c>
    </row>
    <row r="213">
      <c r="A213" s="1" t="s">
        <v>256</v>
      </c>
      <c r="B213" s="1" t="s">
        <v>57</v>
      </c>
      <c r="C213" s="3">
        <v>45998.0</v>
      </c>
      <c r="D213" s="3">
        <v>46043.0</v>
      </c>
      <c r="E213" s="1" t="s">
        <v>50</v>
      </c>
      <c r="F213" s="1" t="s">
        <v>28</v>
      </c>
      <c r="G213" s="1">
        <v>12703.22</v>
      </c>
      <c r="H213" s="1" t="s">
        <v>21</v>
      </c>
      <c r="I213" s="1">
        <v>889.23</v>
      </c>
      <c r="J213" s="1">
        <f t="shared" si="1"/>
        <v>13592.45</v>
      </c>
      <c r="K213" s="1" t="b">
        <v>0</v>
      </c>
      <c r="L213" s="4"/>
      <c r="M213" s="1">
        <v>13592.45</v>
      </c>
      <c r="N213" s="1" t="b">
        <f t="shared" si="2"/>
        <v>0</v>
      </c>
      <c r="O213" s="1" t="b">
        <f t="shared" si="3"/>
        <v>1</v>
      </c>
      <c r="P213" s="1" t="str">
        <f t="shared" si="4"/>
        <v>Florida Line Crew LLC|-13592.45</v>
      </c>
      <c r="Q213" s="1" t="str">
        <f t="shared" si="5"/>
        <v>Unpaid</v>
      </c>
    </row>
    <row r="214">
      <c r="A214" s="1" t="s">
        <v>257</v>
      </c>
      <c r="B214" s="1" t="s">
        <v>30</v>
      </c>
      <c r="C214" s="3">
        <v>45810.0</v>
      </c>
      <c r="D214" s="3">
        <v>45855.0</v>
      </c>
      <c r="E214" s="1" t="s">
        <v>31</v>
      </c>
      <c r="F214" s="1" t="s">
        <v>20</v>
      </c>
      <c r="G214" s="1">
        <v>18144.96</v>
      </c>
      <c r="H214" s="1" t="s">
        <v>21</v>
      </c>
      <c r="I214" s="1">
        <v>1270.15</v>
      </c>
      <c r="J214" s="1">
        <f t="shared" si="1"/>
        <v>19415.11</v>
      </c>
      <c r="K214" s="1" t="b">
        <v>1</v>
      </c>
      <c r="L214" s="3">
        <v>45841.0</v>
      </c>
      <c r="M214" s="1">
        <v>19415.11</v>
      </c>
      <c r="N214" s="1" t="b">
        <f t="shared" si="2"/>
        <v>0</v>
      </c>
      <c r="O214" s="1" t="b">
        <f t="shared" si="3"/>
        <v>0</v>
      </c>
      <c r="P214" s="1" t="str">
        <f t="shared" si="4"/>
        <v>Tidal Contractors|-19415.11</v>
      </c>
      <c r="Q214" s="1" t="str">
        <f t="shared" si="5"/>
        <v>Paid but No Bank Match</v>
      </c>
    </row>
    <row r="215">
      <c r="A215" s="1" t="s">
        <v>258</v>
      </c>
      <c r="B215" s="1" t="s">
        <v>90</v>
      </c>
      <c r="C215" s="3">
        <v>45970.0</v>
      </c>
      <c r="D215" s="3">
        <v>46015.0</v>
      </c>
      <c r="E215" s="1" t="s">
        <v>37</v>
      </c>
      <c r="F215" s="1" t="s">
        <v>20</v>
      </c>
      <c r="G215" s="1">
        <v>18438.52</v>
      </c>
      <c r="H215" s="1" t="s">
        <v>34</v>
      </c>
      <c r="I215" s="1">
        <v>1382.89</v>
      </c>
      <c r="J215" s="1">
        <f t="shared" si="1"/>
        <v>19821.41</v>
      </c>
      <c r="K215" s="1" t="b">
        <v>0</v>
      </c>
      <c r="L215" s="4"/>
      <c r="M215" s="1">
        <v>19821.41</v>
      </c>
      <c r="N215" s="1" t="b">
        <f t="shared" si="2"/>
        <v>0</v>
      </c>
      <c r="O215" s="1" t="b">
        <f t="shared" si="3"/>
        <v>1</v>
      </c>
      <c r="P215" s="1" t="str">
        <f t="shared" si="4"/>
        <v>Peak Materials Supply|-19821.41</v>
      </c>
      <c r="Q215" s="1" t="str">
        <f t="shared" si="5"/>
        <v>Unpaid</v>
      </c>
    </row>
    <row r="216">
      <c r="A216" s="1" t="s">
        <v>259</v>
      </c>
      <c r="B216" s="1" t="s">
        <v>49</v>
      </c>
      <c r="C216" s="3">
        <v>45830.0</v>
      </c>
      <c r="D216" s="3">
        <v>45860.0</v>
      </c>
      <c r="E216" s="1" t="s">
        <v>50</v>
      </c>
      <c r="F216" s="1" t="s">
        <v>28</v>
      </c>
      <c r="G216" s="1">
        <v>10407.35</v>
      </c>
      <c r="H216" s="1" t="s">
        <v>25</v>
      </c>
      <c r="I216" s="1">
        <v>624.44</v>
      </c>
      <c r="J216" s="1">
        <f t="shared" si="1"/>
        <v>11031.79</v>
      </c>
      <c r="K216" s="1" t="b">
        <v>1</v>
      </c>
      <c r="L216" s="3">
        <v>45880.0</v>
      </c>
      <c r="M216" s="1">
        <v>11031.79</v>
      </c>
      <c r="N216" s="1" t="b">
        <f t="shared" si="2"/>
        <v>0</v>
      </c>
      <c r="O216" s="1" t="b">
        <f t="shared" si="3"/>
        <v>0</v>
      </c>
      <c r="P216" s="1" t="str">
        <f t="shared" si="4"/>
        <v>Sunshine Equipment|-11031.79</v>
      </c>
      <c r="Q216" s="1" t="str">
        <f t="shared" si="5"/>
        <v>Paid but No Bank Match</v>
      </c>
    </row>
    <row r="217">
      <c r="A217" s="1" t="s">
        <v>260</v>
      </c>
      <c r="B217" s="1" t="s">
        <v>30</v>
      </c>
      <c r="C217" s="3">
        <v>45721.0</v>
      </c>
      <c r="D217" s="3">
        <v>45766.0</v>
      </c>
      <c r="E217" s="1" t="s">
        <v>19</v>
      </c>
      <c r="F217" s="1" t="s">
        <v>47</v>
      </c>
      <c r="G217" s="1">
        <v>23986.37</v>
      </c>
      <c r="H217" s="1" t="s">
        <v>34</v>
      </c>
      <c r="I217" s="1">
        <v>1798.98</v>
      </c>
      <c r="J217" s="1">
        <f t="shared" si="1"/>
        <v>25784.34</v>
      </c>
      <c r="K217" s="1" t="b">
        <v>1</v>
      </c>
      <c r="L217" s="3">
        <v>45778.0</v>
      </c>
      <c r="M217" s="1">
        <v>25785.35</v>
      </c>
      <c r="N217" s="1" t="b">
        <f t="shared" si="2"/>
        <v>1</v>
      </c>
      <c r="O217" s="1" t="b">
        <f t="shared" si="3"/>
        <v>0</v>
      </c>
      <c r="P217" s="1" t="str">
        <f t="shared" si="4"/>
        <v>Tidal Contractors|-25784.34</v>
      </c>
      <c r="Q217" s="1" t="str">
        <f t="shared" si="5"/>
        <v>Paid but No Bank Match</v>
      </c>
    </row>
    <row r="218">
      <c r="A218" s="1" t="s">
        <v>261</v>
      </c>
      <c r="B218" s="1" t="s">
        <v>90</v>
      </c>
      <c r="C218" s="3">
        <v>45949.0</v>
      </c>
      <c r="D218" s="3">
        <v>45979.0</v>
      </c>
      <c r="E218" s="1" t="s">
        <v>54</v>
      </c>
      <c r="F218" s="1" t="s">
        <v>20</v>
      </c>
      <c r="G218" s="1">
        <v>2172.12</v>
      </c>
      <c r="H218" s="1" t="s">
        <v>45</v>
      </c>
      <c r="I218" s="1">
        <v>141.19</v>
      </c>
      <c r="J218" s="1">
        <f t="shared" si="1"/>
        <v>2313.38</v>
      </c>
      <c r="K218" s="1" t="b">
        <v>1</v>
      </c>
      <c r="L218" s="3">
        <v>45964.0</v>
      </c>
      <c r="M218" s="1">
        <v>2313.31</v>
      </c>
      <c r="N218" s="1" t="b">
        <f t="shared" si="2"/>
        <v>1</v>
      </c>
      <c r="O218" s="1" t="b">
        <f t="shared" si="3"/>
        <v>0</v>
      </c>
      <c r="P218" s="1" t="str">
        <f t="shared" si="4"/>
        <v>Peak Materials Supply|-2313.38</v>
      </c>
      <c r="Q218" s="1" t="str">
        <f t="shared" si="5"/>
        <v>Paid but No Bank Match</v>
      </c>
    </row>
    <row r="219">
      <c r="A219" s="1" t="s">
        <v>262</v>
      </c>
      <c r="B219" s="1" t="s">
        <v>59</v>
      </c>
      <c r="C219" s="3">
        <v>45821.0</v>
      </c>
      <c r="D219" s="3">
        <v>45866.0</v>
      </c>
      <c r="E219" s="1" t="s">
        <v>37</v>
      </c>
      <c r="F219" s="1" t="s">
        <v>24</v>
      </c>
      <c r="G219" s="1">
        <v>7779.48</v>
      </c>
      <c r="H219" s="1" t="s">
        <v>21</v>
      </c>
      <c r="I219" s="1">
        <v>544.56</v>
      </c>
      <c r="J219" s="1">
        <f t="shared" si="1"/>
        <v>8324.04</v>
      </c>
      <c r="K219" s="1" t="b">
        <v>1</v>
      </c>
      <c r="L219" s="3">
        <v>45880.0</v>
      </c>
      <c r="M219" s="1">
        <v>8324.04</v>
      </c>
      <c r="N219" s="1" t="b">
        <f t="shared" si="2"/>
        <v>0</v>
      </c>
      <c r="O219" s="1" t="b">
        <f t="shared" si="3"/>
        <v>0</v>
      </c>
      <c r="P219" s="1" t="str">
        <f t="shared" si="4"/>
        <v>Skyline Engineering|-8324.04</v>
      </c>
      <c r="Q219" s="1" t="str">
        <f t="shared" si="5"/>
        <v>Paid but No Bank Match</v>
      </c>
    </row>
    <row r="220">
      <c r="A220" s="1" t="s">
        <v>263</v>
      </c>
      <c r="B220" s="1" t="s">
        <v>49</v>
      </c>
      <c r="C220" s="3">
        <v>45768.0</v>
      </c>
      <c r="D220" s="3">
        <v>45798.0</v>
      </c>
      <c r="E220" s="1" t="s">
        <v>31</v>
      </c>
      <c r="F220" s="1" t="s">
        <v>60</v>
      </c>
      <c r="G220" s="1">
        <v>3807.53</v>
      </c>
      <c r="H220" s="1" t="s">
        <v>45</v>
      </c>
      <c r="I220" s="1">
        <v>247.49</v>
      </c>
      <c r="J220" s="1">
        <f t="shared" si="1"/>
        <v>4053.56</v>
      </c>
      <c r="K220" s="1" t="b">
        <v>1</v>
      </c>
      <c r="L220" s="3">
        <v>45808.0</v>
      </c>
      <c r="M220" s="1">
        <v>4055.02</v>
      </c>
      <c r="N220" s="1" t="b">
        <f t="shared" si="2"/>
        <v>1</v>
      </c>
      <c r="O220" s="1" t="b">
        <f t="shared" si="3"/>
        <v>0</v>
      </c>
      <c r="P220" s="1" t="str">
        <f t="shared" si="4"/>
        <v>Sunshine Equipment|-4053.56</v>
      </c>
      <c r="Q220" s="1" t="str">
        <f t="shared" si="5"/>
        <v>Paid but No Bank Match</v>
      </c>
    </row>
    <row r="221">
      <c r="A221" s="1" t="s">
        <v>264</v>
      </c>
      <c r="B221" s="1" t="s">
        <v>59</v>
      </c>
      <c r="C221" s="3">
        <v>45896.0</v>
      </c>
      <c r="D221" s="3">
        <v>45926.0</v>
      </c>
      <c r="E221" s="1" t="s">
        <v>19</v>
      </c>
      <c r="F221" s="1" t="s">
        <v>47</v>
      </c>
      <c r="G221" s="1">
        <v>15079.41</v>
      </c>
      <c r="H221" s="1" t="s">
        <v>45</v>
      </c>
      <c r="I221" s="1">
        <v>980.16</v>
      </c>
      <c r="J221" s="1">
        <f t="shared" si="1"/>
        <v>16060.27</v>
      </c>
      <c r="K221" s="1" t="b">
        <v>1</v>
      </c>
      <c r="L221" s="3">
        <v>45962.0</v>
      </c>
      <c r="M221" s="1">
        <v>16059.57</v>
      </c>
      <c r="N221" s="1" t="b">
        <f t="shared" si="2"/>
        <v>1</v>
      </c>
      <c r="O221" s="1" t="b">
        <f t="shared" si="3"/>
        <v>0</v>
      </c>
      <c r="P221" s="1" t="str">
        <f t="shared" si="4"/>
        <v>Skyline Engineering|-16060.27</v>
      </c>
      <c r="Q221" s="1" t="str">
        <f t="shared" si="5"/>
        <v>Paid but No Bank Match</v>
      </c>
    </row>
    <row r="222">
      <c r="A222" s="1" t="s">
        <v>265</v>
      </c>
      <c r="B222" s="1" t="s">
        <v>18</v>
      </c>
      <c r="C222" s="3">
        <v>46022.0</v>
      </c>
      <c r="D222" s="3">
        <v>46067.0</v>
      </c>
      <c r="E222" s="1" t="s">
        <v>19</v>
      </c>
      <c r="F222" s="1" t="s">
        <v>28</v>
      </c>
      <c r="G222" s="1">
        <v>15771.65</v>
      </c>
      <c r="H222" s="1" t="s">
        <v>34</v>
      </c>
      <c r="I222" s="1">
        <v>1182.87</v>
      </c>
      <c r="J222" s="1">
        <f t="shared" si="1"/>
        <v>16954.52</v>
      </c>
      <c r="K222" s="1" t="b">
        <v>0</v>
      </c>
      <c r="L222" s="4"/>
      <c r="M222" s="1">
        <v>16954.52</v>
      </c>
      <c r="N222" s="1" t="b">
        <f t="shared" si="2"/>
        <v>0</v>
      </c>
      <c r="O222" s="1" t="b">
        <f t="shared" si="3"/>
        <v>1</v>
      </c>
      <c r="P222" s="1" t="str">
        <f t="shared" si="4"/>
        <v>Tri-County Services|-16954.52</v>
      </c>
      <c r="Q222" s="1" t="str">
        <f t="shared" si="5"/>
        <v>Unpaid</v>
      </c>
    </row>
    <row r="223">
      <c r="A223" s="1" t="s">
        <v>266</v>
      </c>
      <c r="B223" s="1" t="s">
        <v>27</v>
      </c>
      <c r="C223" s="3">
        <v>45674.0</v>
      </c>
      <c r="D223" s="3">
        <v>45719.0</v>
      </c>
      <c r="E223" s="1" t="s">
        <v>54</v>
      </c>
      <c r="F223" s="1" t="s">
        <v>24</v>
      </c>
      <c r="G223" s="1">
        <v>17770.68</v>
      </c>
      <c r="H223" s="1" t="s">
        <v>34</v>
      </c>
      <c r="I223" s="1">
        <v>1332.8</v>
      </c>
      <c r="J223" s="1">
        <f t="shared" si="1"/>
        <v>19103.98</v>
      </c>
      <c r="K223" s="1" t="b">
        <v>1</v>
      </c>
      <c r="L223" s="3">
        <v>45703.0</v>
      </c>
      <c r="M223" s="1">
        <v>19103.48</v>
      </c>
      <c r="N223" s="1" t="b">
        <f t="shared" si="2"/>
        <v>1</v>
      </c>
      <c r="O223" s="1" t="b">
        <f t="shared" si="3"/>
        <v>0</v>
      </c>
      <c r="P223" s="1" t="str">
        <f t="shared" si="4"/>
        <v>Sunline Electrical|-19103.98</v>
      </c>
      <c r="Q223" s="1" t="str">
        <f t="shared" si="5"/>
        <v>Paid but No Bank Match</v>
      </c>
    </row>
    <row r="224">
      <c r="A224" s="1" t="s">
        <v>267</v>
      </c>
      <c r="B224" s="1" t="s">
        <v>23</v>
      </c>
      <c r="C224" s="3">
        <v>45696.0</v>
      </c>
      <c r="D224" s="3">
        <v>45726.0</v>
      </c>
      <c r="E224" s="1" t="s">
        <v>54</v>
      </c>
      <c r="F224" s="1" t="s">
        <v>47</v>
      </c>
      <c r="G224" s="1">
        <v>2405.25</v>
      </c>
      <c r="H224" s="1" t="s">
        <v>45</v>
      </c>
      <c r="I224" s="1">
        <v>156.34</v>
      </c>
      <c r="J224" s="1">
        <f t="shared" si="1"/>
        <v>2561.59</v>
      </c>
      <c r="K224" s="1" t="b">
        <v>1</v>
      </c>
      <c r="L224" s="3">
        <v>45751.0</v>
      </c>
      <c r="M224" s="1">
        <v>2561.59</v>
      </c>
      <c r="N224" s="1" t="b">
        <f t="shared" si="2"/>
        <v>0</v>
      </c>
      <c r="O224" s="1" t="b">
        <f t="shared" si="3"/>
        <v>0</v>
      </c>
      <c r="P224" s="1" t="str">
        <f t="shared" si="4"/>
        <v>Atlantic Fiber Co|-2561.59</v>
      </c>
      <c r="Q224" s="1" t="str">
        <f t="shared" si="5"/>
        <v>Paid but No Bank Match</v>
      </c>
    </row>
    <row r="225">
      <c r="A225" s="1" t="s">
        <v>268</v>
      </c>
      <c r="B225" s="1" t="s">
        <v>18</v>
      </c>
      <c r="C225" s="3">
        <v>45759.0</v>
      </c>
      <c r="D225" s="3">
        <v>45804.0</v>
      </c>
      <c r="E225" s="1" t="s">
        <v>31</v>
      </c>
      <c r="F225" s="1" t="s">
        <v>28</v>
      </c>
      <c r="G225" s="1">
        <v>9343.86</v>
      </c>
      <c r="H225" s="1" t="s">
        <v>25</v>
      </c>
      <c r="I225" s="1">
        <v>560.63</v>
      </c>
      <c r="J225" s="1">
        <f t="shared" si="1"/>
        <v>9904.49</v>
      </c>
      <c r="K225" s="1" t="b">
        <v>1</v>
      </c>
      <c r="L225" s="3">
        <v>45812.0</v>
      </c>
      <c r="M225" s="1">
        <v>9904.49</v>
      </c>
      <c r="N225" s="1" t="b">
        <f t="shared" si="2"/>
        <v>0</v>
      </c>
      <c r="O225" s="1" t="b">
        <f t="shared" si="3"/>
        <v>0</v>
      </c>
      <c r="P225" s="1" t="str">
        <f t="shared" si="4"/>
        <v>Tri-County Services|-9904.49</v>
      </c>
      <c r="Q225" s="1" t="str">
        <f t="shared" si="5"/>
        <v>Paid but No Bank Match</v>
      </c>
    </row>
    <row r="226">
      <c r="A226" s="1" t="s">
        <v>269</v>
      </c>
      <c r="B226" s="1" t="s">
        <v>18</v>
      </c>
      <c r="C226" s="3">
        <v>45674.0</v>
      </c>
      <c r="D226" s="3">
        <v>45704.0</v>
      </c>
      <c r="E226" s="1" t="s">
        <v>54</v>
      </c>
      <c r="F226" s="1" t="s">
        <v>60</v>
      </c>
      <c r="G226" s="1">
        <v>11427.14</v>
      </c>
      <c r="H226" s="1" t="s">
        <v>25</v>
      </c>
      <c r="I226" s="1">
        <v>685.63</v>
      </c>
      <c r="J226" s="1">
        <f t="shared" si="1"/>
        <v>12112.77</v>
      </c>
      <c r="K226" s="1" t="b">
        <v>1</v>
      </c>
      <c r="L226" s="3">
        <v>45740.0</v>
      </c>
      <c r="M226" s="1">
        <v>12112.77</v>
      </c>
      <c r="N226" s="1" t="b">
        <f t="shared" si="2"/>
        <v>0</v>
      </c>
      <c r="O226" s="1" t="b">
        <f t="shared" si="3"/>
        <v>0</v>
      </c>
      <c r="P226" s="1" t="str">
        <f t="shared" si="4"/>
        <v>Tri-County Services|-12112.77</v>
      </c>
      <c r="Q226" s="1" t="str">
        <f t="shared" si="5"/>
        <v>Paid but No Bank Match</v>
      </c>
    </row>
    <row r="227">
      <c r="A227" s="1" t="s">
        <v>270</v>
      </c>
      <c r="B227" s="1" t="s">
        <v>90</v>
      </c>
      <c r="C227" s="3">
        <v>45737.0</v>
      </c>
      <c r="D227" s="3">
        <v>45767.0</v>
      </c>
      <c r="E227" s="1" t="s">
        <v>37</v>
      </c>
      <c r="F227" s="1" t="s">
        <v>28</v>
      </c>
      <c r="G227" s="1">
        <v>18439.51</v>
      </c>
      <c r="H227" s="1" t="s">
        <v>25</v>
      </c>
      <c r="I227" s="1">
        <v>1106.37</v>
      </c>
      <c r="J227" s="1">
        <f t="shared" si="1"/>
        <v>19545.3</v>
      </c>
      <c r="K227" s="1" t="b">
        <v>1</v>
      </c>
      <c r="L227" s="3">
        <v>45766.0</v>
      </c>
      <c r="M227" s="1">
        <v>19545.88</v>
      </c>
      <c r="N227" s="1" t="b">
        <f t="shared" si="2"/>
        <v>1</v>
      </c>
      <c r="O227" s="1" t="b">
        <f t="shared" si="3"/>
        <v>0</v>
      </c>
      <c r="P227" s="1" t="str">
        <f t="shared" si="4"/>
        <v>Peak Materials Supply|-19545.3</v>
      </c>
      <c r="Q227" s="1" t="str">
        <f t="shared" si="5"/>
        <v>Paid but No Bank Match</v>
      </c>
    </row>
    <row r="228">
      <c r="A228" s="1" t="s">
        <v>271</v>
      </c>
      <c r="B228" s="1" t="s">
        <v>49</v>
      </c>
      <c r="C228" s="3">
        <v>45746.0</v>
      </c>
      <c r="D228" s="3">
        <v>45776.0</v>
      </c>
      <c r="E228" s="1" t="s">
        <v>37</v>
      </c>
      <c r="F228" s="1" t="s">
        <v>24</v>
      </c>
      <c r="G228" s="1">
        <v>17482.79</v>
      </c>
      <c r="H228" s="1" t="s">
        <v>45</v>
      </c>
      <c r="I228" s="1">
        <v>1136.38</v>
      </c>
      <c r="J228" s="1">
        <f t="shared" si="1"/>
        <v>18619.17</v>
      </c>
      <c r="K228" s="1" t="b">
        <v>1</v>
      </c>
      <c r="L228" s="3">
        <v>45776.0</v>
      </c>
      <c r="M228" s="1">
        <v>18619.17</v>
      </c>
      <c r="N228" s="1" t="b">
        <f t="shared" si="2"/>
        <v>0</v>
      </c>
      <c r="O228" s="1" t="b">
        <f t="shared" si="3"/>
        <v>0</v>
      </c>
      <c r="P228" s="1" t="str">
        <f t="shared" si="4"/>
        <v>Sunshine Equipment|-18619.17</v>
      </c>
      <c r="Q228" s="1" t="str">
        <f t="shared" si="5"/>
        <v>Paid but No Bank Match</v>
      </c>
    </row>
    <row r="229">
      <c r="A229" s="1" t="s">
        <v>272</v>
      </c>
      <c r="B229" s="1" t="s">
        <v>30</v>
      </c>
      <c r="C229" s="3">
        <v>45704.0</v>
      </c>
      <c r="D229" s="3">
        <v>45749.0</v>
      </c>
      <c r="E229" s="1" t="s">
        <v>19</v>
      </c>
      <c r="F229" s="1" t="s">
        <v>47</v>
      </c>
      <c r="G229" s="1">
        <v>14912.46</v>
      </c>
      <c r="H229" s="1" t="s">
        <v>45</v>
      </c>
      <c r="I229" s="1">
        <v>969.31</v>
      </c>
      <c r="J229" s="1">
        <f t="shared" si="1"/>
        <v>15881.77</v>
      </c>
      <c r="K229" s="1" t="b">
        <v>0</v>
      </c>
      <c r="L229" s="4"/>
      <c r="M229" s="1">
        <v>15881.77</v>
      </c>
      <c r="N229" s="1" t="b">
        <f t="shared" si="2"/>
        <v>0</v>
      </c>
      <c r="O229" s="1" t="b">
        <f t="shared" si="3"/>
        <v>1</v>
      </c>
      <c r="P229" s="1" t="str">
        <f t="shared" si="4"/>
        <v>Tidal Contractors|-15881.77</v>
      </c>
      <c r="Q229" s="1" t="str">
        <f t="shared" si="5"/>
        <v>Unpaid</v>
      </c>
    </row>
    <row r="230">
      <c r="A230" s="1" t="s">
        <v>273</v>
      </c>
      <c r="B230" s="1" t="s">
        <v>23</v>
      </c>
      <c r="C230" s="3">
        <v>45939.0</v>
      </c>
      <c r="D230" s="3">
        <v>45969.0</v>
      </c>
      <c r="E230" s="1" t="s">
        <v>54</v>
      </c>
      <c r="F230" s="1" t="s">
        <v>24</v>
      </c>
      <c r="G230" s="1">
        <v>22929.46</v>
      </c>
      <c r="H230" s="1" t="s">
        <v>21</v>
      </c>
      <c r="I230" s="1">
        <v>1605.06</v>
      </c>
      <c r="J230" s="1">
        <f t="shared" si="1"/>
        <v>24534.85</v>
      </c>
      <c r="K230" s="1" t="b">
        <v>1</v>
      </c>
      <c r="L230" s="3">
        <v>45950.0</v>
      </c>
      <c r="M230" s="1">
        <v>24534.52</v>
      </c>
      <c r="N230" s="1" t="b">
        <f t="shared" si="2"/>
        <v>1</v>
      </c>
      <c r="O230" s="1" t="b">
        <f t="shared" si="3"/>
        <v>0</v>
      </c>
      <c r="P230" s="1" t="str">
        <f t="shared" si="4"/>
        <v>Atlantic Fiber Co|-24534.85</v>
      </c>
      <c r="Q230" s="1" t="str">
        <f t="shared" si="5"/>
        <v>Paid but No Bank Match</v>
      </c>
    </row>
    <row r="231">
      <c r="A231" s="1" t="s">
        <v>274</v>
      </c>
      <c r="B231" s="1" t="s">
        <v>18</v>
      </c>
      <c r="C231" s="3">
        <v>45794.0</v>
      </c>
      <c r="D231" s="3">
        <v>45824.0</v>
      </c>
      <c r="E231" s="1" t="s">
        <v>19</v>
      </c>
      <c r="F231" s="1" t="s">
        <v>20</v>
      </c>
      <c r="G231" s="1">
        <v>3324.41</v>
      </c>
      <c r="H231" s="1" t="s">
        <v>21</v>
      </c>
      <c r="I231" s="1">
        <v>232.71</v>
      </c>
      <c r="J231" s="1">
        <f t="shared" si="1"/>
        <v>3557.12</v>
      </c>
      <c r="K231" s="1" t="b">
        <v>1</v>
      </c>
      <c r="L231" s="3">
        <v>45837.0</v>
      </c>
      <c r="M231" s="1">
        <v>3557.12</v>
      </c>
      <c r="N231" s="1" t="b">
        <f t="shared" si="2"/>
        <v>0</v>
      </c>
      <c r="O231" s="1" t="b">
        <f t="shared" si="3"/>
        <v>0</v>
      </c>
      <c r="P231" s="1" t="str">
        <f t="shared" si="4"/>
        <v>Tri-County Services|-3557.12</v>
      </c>
      <c r="Q231" s="1" t="str">
        <f t="shared" si="5"/>
        <v>Paid but No Bank Match</v>
      </c>
    </row>
    <row r="232">
      <c r="A232" s="1" t="s">
        <v>275</v>
      </c>
      <c r="B232" s="1" t="s">
        <v>36</v>
      </c>
      <c r="C232" s="3">
        <v>45760.0</v>
      </c>
      <c r="D232" s="3">
        <v>45790.0</v>
      </c>
      <c r="E232" s="1" t="s">
        <v>19</v>
      </c>
      <c r="F232" s="1" t="s">
        <v>28</v>
      </c>
      <c r="G232" s="1">
        <v>15108.61</v>
      </c>
      <c r="H232" s="1" t="s">
        <v>21</v>
      </c>
      <c r="I232" s="1">
        <v>1057.6</v>
      </c>
      <c r="J232" s="1">
        <f t="shared" si="1"/>
        <v>16167.47</v>
      </c>
      <c r="K232" s="1" t="b">
        <v>1</v>
      </c>
      <c r="L232" s="3">
        <v>45824.0</v>
      </c>
      <c r="M232" s="1">
        <v>16166.21</v>
      </c>
      <c r="N232" s="1" t="b">
        <f t="shared" si="2"/>
        <v>1</v>
      </c>
      <c r="O232" s="1" t="b">
        <f t="shared" si="3"/>
        <v>0</v>
      </c>
      <c r="P232" s="1" t="str">
        <f t="shared" si="4"/>
        <v>Tampa Grid Services|-16167.47</v>
      </c>
      <c r="Q232" s="1" t="str">
        <f t="shared" si="5"/>
        <v>Paid but No Bank Match</v>
      </c>
    </row>
    <row r="233">
      <c r="A233" s="1" t="s">
        <v>276</v>
      </c>
      <c r="B233" s="1" t="s">
        <v>23</v>
      </c>
      <c r="C233" s="3">
        <v>45958.0</v>
      </c>
      <c r="D233" s="3">
        <v>46003.0</v>
      </c>
      <c r="E233" s="1" t="s">
        <v>50</v>
      </c>
      <c r="F233" s="1" t="s">
        <v>24</v>
      </c>
      <c r="G233" s="1">
        <v>17559.08</v>
      </c>
      <c r="H233" s="1" t="s">
        <v>45</v>
      </c>
      <c r="I233" s="1">
        <v>1141.34</v>
      </c>
      <c r="J233" s="1">
        <f t="shared" si="1"/>
        <v>18699.61</v>
      </c>
      <c r="K233" s="1" t="b">
        <v>1</v>
      </c>
      <c r="L233" s="3">
        <v>46017.0</v>
      </c>
      <c r="M233" s="1">
        <v>18700.42</v>
      </c>
      <c r="N233" s="1" t="b">
        <f t="shared" si="2"/>
        <v>1</v>
      </c>
      <c r="O233" s="1" t="b">
        <f t="shared" si="3"/>
        <v>0</v>
      </c>
      <c r="P233" s="1" t="str">
        <f t="shared" si="4"/>
        <v>Atlantic Fiber Co|-18699.61</v>
      </c>
      <c r="Q233" s="1" t="str">
        <f t="shared" si="5"/>
        <v>Paid but No Bank Match</v>
      </c>
    </row>
    <row r="234">
      <c r="A234" s="1" t="s">
        <v>277</v>
      </c>
      <c r="B234" s="1" t="s">
        <v>36</v>
      </c>
      <c r="C234" s="3">
        <v>46021.0</v>
      </c>
      <c r="D234" s="3">
        <v>46051.0</v>
      </c>
      <c r="E234" s="1" t="s">
        <v>31</v>
      </c>
      <c r="F234" s="1" t="s">
        <v>20</v>
      </c>
      <c r="G234" s="1">
        <v>20197.44</v>
      </c>
      <c r="H234" s="1" t="s">
        <v>21</v>
      </c>
      <c r="I234" s="1">
        <v>1413.82</v>
      </c>
      <c r="J234" s="1">
        <f t="shared" si="1"/>
        <v>21610.31</v>
      </c>
      <c r="K234" s="1" t="b">
        <v>0</v>
      </c>
      <c r="L234" s="4"/>
      <c r="M234" s="1">
        <v>21611.26</v>
      </c>
      <c r="N234" s="1" t="b">
        <f t="shared" si="2"/>
        <v>1</v>
      </c>
      <c r="O234" s="1" t="b">
        <f t="shared" si="3"/>
        <v>1</v>
      </c>
      <c r="P234" s="1" t="str">
        <f t="shared" si="4"/>
        <v>Tampa Grid Services|-21610.31</v>
      </c>
      <c r="Q234" s="1" t="str">
        <f t="shared" si="5"/>
        <v>Unpaid</v>
      </c>
    </row>
    <row r="235">
      <c r="A235" s="1" t="s">
        <v>278</v>
      </c>
      <c r="B235" s="1" t="s">
        <v>40</v>
      </c>
      <c r="C235" s="3">
        <v>45867.0</v>
      </c>
      <c r="D235" s="3">
        <v>45897.0</v>
      </c>
      <c r="E235" s="1" t="s">
        <v>50</v>
      </c>
      <c r="F235" s="1" t="s">
        <v>24</v>
      </c>
      <c r="G235" s="1">
        <v>10957.02</v>
      </c>
      <c r="H235" s="1" t="s">
        <v>45</v>
      </c>
      <c r="I235" s="1">
        <v>712.21</v>
      </c>
      <c r="J235" s="1">
        <f t="shared" si="1"/>
        <v>11669.23</v>
      </c>
      <c r="K235" s="1" t="b">
        <v>0</v>
      </c>
      <c r="L235" s="4"/>
      <c r="M235" s="1">
        <v>11669.23</v>
      </c>
      <c r="N235" s="1" t="b">
        <f t="shared" si="2"/>
        <v>0</v>
      </c>
      <c r="O235" s="1" t="b">
        <f t="shared" si="3"/>
        <v>1</v>
      </c>
      <c r="P235" s="1" t="str">
        <f t="shared" si="4"/>
        <v>Gulf Coast Telecom|-11669.23</v>
      </c>
      <c r="Q235" s="1" t="str">
        <f t="shared" si="5"/>
        <v>Unpaid</v>
      </c>
    </row>
    <row r="236">
      <c r="A236" s="1" t="s">
        <v>279</v>
      </c>
      <c r="B236" s="1" t="s">
        <v>23</v>
      </c>
      <c r="C236" s="3">
        <v>45968.0</v>
      </c>
      <c r="D236" s="3">
        <v>46013.0</v>
      </c>
      <c r="E236" s="1" t="s">
        <v>19</v>
      </c>
      <c r="F236" s="1" t="s">
        <v>28</v>
      </c>
      <c r="G236" s="1">
        <v>24763.36</v>
      </c>
      <c r="H236" s="1" t="s">
        <v>45</v>
      </c>
      <c r="I236" s="1">
        <v>1609.62</v>
      </c>
      <c r="J236" s="1">
        <f t="shared" si="1"/>
        <v>26372.98</v>
      </c>
      <c r="K236" s="1" t="b">
        <v>1</v>
      </c>
      <c r="L236" s="3">
        <v>45985.0</v>
      </c>
      <c r="M236" s="1">
        <v>26372.98</v>
      </c>
      <c r="N236" s="1" t="b">
        <f t="shared" si="2"/>
        <v>0</v>
      </c>
      <c r="O236" s="1" t="b">
        <f t="shared" si="3"/>
        <v>0</v>
      </c>
      <c r="P236" s="1" t="str">
        <f t="shared" si="4"/>
        <v>Atlantic Fiber Co|-26372.98</v>
      </c>
      <c r="Q236" s="1" t="str">
        <f t="shared" si="5"/>
        <v>Paid but No Bank Match</v>
      </c>
    </row>
    <row r="237">
      <c r="A237" s="1" t="s">
        <v>280</v>
      </c>
      <c r="B237" s="1" t="s">
        <v>27</v>
      </c>
      <c r="C237" s="3">
        <v>45798.0</v>
      </c>
      <c r="D237" s="3">
        <v>45828.0</v>
      </c>
      <c r="E237" s="1" t="s">
        <v>54</v>
      </c>
      <c r="F237" s="1" t="s">
        <v>24</v>
      </c>
      <c r="G237" s="1">
        <v>23348.45</v>
      </c>
      <c r="H237" s="1" t="s">
        <v>34</v>
      </c>
      <c r="I237" s="1">
        <v>1751.13</v>
      </c>
      <c r="J237" s="1">
        <f t="shared" si="1"/>
        <v>25099.58</v>
      </c>
      <c r="K237" s="1" t="b">
        <v>1</v>
      </c>
      <c r="L237" s="3">
        <v>45848.0</v>
      </c>
      <c r="M237" s="1">
        <v>25099.58</v>
      </c>
      <c r="N237" s="1" t="b">
        <f t="shared" si="2"/>
        <v>0</v>
      </c>
      <c r="O237" s="1" t="b">
        <f t="shared" si="3"/>
        <v>0</v>
      </c>
      <c r="P237" s="1" t="str">
        <f t="shared" si="4"/>
        <v>Sunline Electrical|-25099.58</v>
      </c>
      <c r="Q237" s="1" t="str">
        <f t="shared" si="5"/>
        <v>Paid but No Bank Match</v>
      </c>
    </row>
    <row r="238">
      <c r="A238" s="1" t="s">
        <v>281</v>
      </c>
      <c r="B238" s="1" t="s">
        <v>49</v>
      </c>
      <c r="C238" s="3">
        <v>45686.0</v>
      </c>
      <c r="D238" s="3">
        <v>45731.0</v>
      </c>
      <c r="E238" s="1" t="s">
        <v>37</v>
      </c>
      <c r="F238" s="1" t="s">
        <v>24</v>
      </c>
      <c r="G238" s="1">
        <v>10347.31</v>
      </c>
      <c r="H238" s="1" t="s">
        <v>25</v>
      </c>
      <c r="I238" s="1">
        <v>620.84</v>
      </c>
      <c r="J238" s="1">
        <f t="shared" si="1"/>
        <v>10968.15</v>
      </c>
      <c r="K238" s="1" t="b">
        <v>1</v>
      </c>
      <c r="L238" s="3">
        <v>45747.0</v>
      </c>
      <c r="M238" s="1">
        <v>10968.15</v>
      </c>
      <c r="N238" s="1" t="b">
        <f t="shared" si="2"/>
        <v>0</v>
      </c>
      <c r="O238" s="1" t="b">
        <f t="shared" si="3"/>
        <v>0</v>
      </c>
      <c r="P238" s="1" t="str">
        <f t="shared" si="4"/>
        <v>Sunshine Equipment|-10968.15</v>
      </c>
      <c r="Q238" s="1" t="str">
        <f t="shared" si="5"/>
        <v>Paid but No Bank Match</v>
      </c>
    </row>
    <row r="239">
      <c r="A239" s="1" t="s">
        <v>282</v>
      </c>
      <c r="B239" s="1" t="s">
        <v>30</v>
      </c>
      <c r="C239" s="3">
        <v>45929.0</v>
      </c>
      <c r="D239" s="3">
        <v>45959.0</v>
      </c>
      <c r="E239" s="1" t="s">
        <v>31</v>
      </c>
      <c r="F239" s="1" t="s">
        <v>24</v>
      </c>
      <c r="G239" s="1">
        <v>24610.04</v>
      </c>
      <c r="H239" s="1" t="s">
        <v>45</v>
      </c>
      <c r="I239" s="1">
        <v>1599.65</v>
      </c>
      <c r="J239" s="1">
        <f t="shared" si="1"/>
        <v>26209.69</v>
      </c>
      <c r="K239" s="1" t="b">
        <v>1</v>
      </c>
      <c r="L239" s="3">
        <v>45958.0</v>
      </c>
      <c r="M239" s="1">
        <v>26209.69</v>
      </c>
      <c r="N239" s="1" t="b">
        <f t="shared" si="2"/>
        <v>0</v>
      </c>
      <c r="O239" s="1" t="b">
        <f t="shared" si="3"/>
        <v>0</v>
      </c>
      <c r="P239" s="1" t="str">
        <f t="shared" si="4"/>
        <v>Tidal Contractors|-26209.69</v>
      </c>
      <c r="Q239" s="1" t="str">
        <f t="shared" si="5"/>
        <v>Paid but No Bank Match</v>
      </c>
    </row>
    <row r="240">
      <c r="A240" s="1" t="s">
        <v>283</v>
      </c>
      <c r="B240" s="1" t="s">
        <v>49</v>
      </c>
      <c r="C240" s="3">
        <v>46016.0</v>
      </c>
      <c r="D240" s="3">
        <v>46046.0</v>
      </c>
      <c r="E240" s="1" t="s">
        <v>19</v>
      </c>
      <c r="F240" s="1" t="s">
        <v>47</v>
      </c>
      <c r="G240" s="1">
        <v>18440.66</v>
      </c>
      <c r="H240" s="1" t="s">
        <v>25</v>
      </c>
      <c r="I240" s="1">
        <v>1106.44</v>
      </c>
      <c r="J240" s="1">
        <f t="shared" si="1"/>
        <v>19547.1</v>
      </c>
      <c r="K240" s="1" t="b">
        <v>0</v>
      </c>
      <c r="L240" s="4"/>
      <c r="M240" s="1">
        <v>19547.1</v>
      </c>
      <c r="N240" s="1" t="b">
        <f t="shared" si="2"/>
        <v>0</v>
      </c>
      <c r="O240" s="1" t="b">
        <f t="shared" si="3"/>
        <v>1</v>
      </c>
      <c r="P240" s="1" t="str">
        <f t="shared" si="4"/>
        <v>Sunshine Equipment|-19547.1</v>
      </c>
      <c r="Q240" s="1" t="str">
        <f t="shared" si="5"/>
        <v>Unpaid</v>
      </c>
    </row>
    <row r="241">
      <c r="A241" s="1" t="s">
        <v>284</v>
      </c>
      <c r="B241" s="1" t="s">
        <v>62</v>
      </c>
      <c r="C241" s="3">
        <v>45799.0</v>
      </c>
      <c r="D241" s="3">
        <v>45829.0</v>
      </c>
      <c r="E241" s="1" t="s">
        <v>54</v>
      </c>
      <c r="F241" s="1" t="s">
        <v>47</v>
      </c>
      <c r="G241" s="1">
        <v>21394.13</v>
      </c>
      <c r="H241" s="1" t="s">
        <v>34</v>
      </c>
      <c r="I241" s="1">
        <v>1604.56</v>
      </c>
      <c r="J241" s="1">
        <f t="shared" si="1"/>
        <v>22998.69</v>
      </c>
      <c r="K241" s="1" t="b">
        <v>1</v>
      </c>
      <c r="L241" s="3">
        <v>45840.0</v>
      </c>
      <c r="M241" s="1">
        <v>22998.69</v>
      </c>
      <c r="N241" s="1" t="b">
        <f t="shared" si="2"/>
        <v>0</v>
      </c>
      <c r="O241" s="1" t="b">
        <f t="shared" si="3"/>
        <v>0</v>
      </c>
      <c r="P241" s="1" t="str">
        <f t="shared" si="4"/>
        <v>Bay Area Rentals|-22998.69</v>
      </c>
      <c r="Q241" s="1" t="str">
        <f t="shared" si="5"/>
        <v>Paid but No Bank Match</v>
      </c>
    </row>
    <row r="242">
      <c r="A242" s="1" t="s">
        <v>285</v>
      </c>
      <c r="B242" s="1" t="s">
        <v>40</v>
      </c>
      <c r="C242" s="3">
        <v>45810.0</v>
      </c>
      <c r="D242" s="3">
        <v>45855.0</v>
      </c>
      <c r="E242" s="1" t="s">
        <v>31</v>
      </c>
      <c r="F242" s="1" t="s">
        <v>28</v>
      </c>
      <c r="G242" s="1">
        <v>22803.31</v>
      </c>
      <c r="H242" s="1" t="s">
        <v>34</v>
      </c>
      <c r="I242" s="1">
        <v>1710.25</v>
      </c>
      <c r="J242" s="1">
        <f t="shared" si="1"/>
        <v>24513.56</v>
      </c>
      <c r="K242" s="1" t="b">
        <v>1</v>
      </c>
      <c r="L242" s="3">
        <v>45829.0</v>
      </c>
      <c r="M242" s="1">
        <v>24513.56</v>
      </c>
      <c r="N242" s="1" t="b">
        <f t="shared" si="2"/>
        <v>0</v>
      </c>
      <c r="O242" s="1" t="b">
        <f t="shared" si="3"/>
        <v>0</v>
      </c>
      <c r="P242" s="1" t="str">
        <f t="shared" si="4"/>
        <v>Gulf Coast Telecom|-24513.56</v>
      </c>
      <c r="Q242" s="1" t="str">
        <f t="shared" si="5"/>
        <v>Paid but No Bank Match</v>
      </c>
    </row>
    <row r="243">
      <c r="A243" s="1" t="s">
        <v>286</v>
      </c>
      <c r="B243" s="1" t="s">
        <v>36</v>
      </c>
      <c r="C243" s="3">
        <v>45962.0</v>
      </c>
      <c r="D243" s="3">
        <v>46007.0</v>
      </c>
      <c r="E243" s="1" t="s">
        <v>31</v>
      </c>
      <c r="F243" s="1" t="s">
        <v>20</v>
      </c>
      <c r="G243" s="1">
        <v>3548.72</v>
      </c>
      <c r="H243" s="1" t="s">
        <v>25</v>
      </c>
      <c r="I243" s="1">
        <v>212.92</v>
      </c>
      <c r="J243" s="1">
        <f t="shared" si="1"/>
        <v>3760.2</v>
      </c>
      <c r="K243" s="1" t="b">
        <v>0</v>
      </c>
      <c r="L243" s="4"/>
      <c r="M243" s="1">
        <v>3761.64</v>
      </c>
      <c r="N243" s="1" t="b">
        <f t="shared" si="2"/>
        <v>1</v>
      </c>
      <c r="O243" s="1" t="b">
        <f t="shared" si="3"/>
        <v>1</v>
      </c>
      <c r="P243" s="1" t="str">
        <f t="shared" si="4"/>
        <v>Tampa Grid Services|-3760.2</v>
      </c>
      <c r="Q243" s="1" t="str">
        <f t="shared" si="5"/>
        <v>Unpaid</v>
      </c>
    </row>
    <row r="244">
      <c r="A244" s="1" t="s">
        <v>287</v>
      </c>
      <c r="B244" s="1" t="s">
        <v>59</v>
      </c>
      <c r="C244" s="3">
        <v>45950.0</v>
      </c>
      <c r="D244" s="3">
        <v>45995.0</v>
      </c>
      <c r="E244" s="1" t="s">
        <v>54</v>
      </c>
      <c r="F244" s="1" t="s">
        <v>47</v>
      </c>
      <c r="G244" s="1">
        <v>2690.57</v>
      </c>
      <c r="H244" s="1" t="s">
        <v>34</v>
      </c>
      <c r="I244" s="1">
        <v>201.79</v>
      </c>
      <c r="J244" s="1">
        <f t="shared" si="1"/>
        <v>2891.88</v>
      </c>
      <c r="K244" s="1" t="b">
        <v>1</v>
      </c>
      <c r="L244" s="3">
        <v>46010.0</v>
      </c>
      <c r="M244" s="1">
        <v>2892.36</v>
      </c>
      <c r="N244" s="1" t="b">
        <f t="shared" si="2"/>
        <v>1</v>
      </c>
      <c r="O244" s="1" t="b">
        <f t="shared" si="3"/>
        <v>0</v>
      </c>
      <c r="P244" s="1" t="str">
        <f t="shared" si="4"/>
        <v>Skyline Engineering|-2891.88</v>
      </c>
      <c r="Q244" s="1" t="str">
        <f t="shared" si="5"/>
        <v>Paid but No Bank Match</v>
      </c>
    </row>
    <row r="245">
      <c r="A245" s="1" t="s">
        <v>288</v>
      </c>
      <c r="B245" s="1" t="s">
        <v>42</v>
      </c>
      <c r="C245" s="3">
        <v>45976.0</v>
      </c>
      <c r="D245" s="3">
        <v>46006.0</v>
      </c>
      <c r="E245" s="1" t="s">
        <v>31</v>
      </c>
      <c r="F245" s="1" t="s">
        <v>60</v>
      </c>
      <c r="G245" s="1">
        <v>11951.34</v>
      </c>
      <c r="H245" s="1" t="s">
        <v>21</v>
      </c>
      <c r="I245" s="1">
        <v>836.59</v>
      </c>
      <c r="J245" s="1">
        <f t="shared" si="1"/>
        <v>12787.93</v>
      </c>
      <c r="K245" s="1" t="b">
        <v>1</v>
      </c>
      <c r="L245" s="3">
        <v>46005.0</v>
      </c>
      <c r="M245" s="1">
        <v>12787.93</v>
      </c>
      <c r="N245" s="1" t="b">
        <f t="shared" si="2"/>
        <v>0</v>
      </c>
      <c r="O245" s="1" t="b">
        <f t="shared" si="3"/>
        <v>0</v>
      </c>
      <c r="P245" s="1" t="str">
        <f t="shared" si="4"/>
        <v>BrightPower Partners|-12787.93</v>
      </c>
      <c r="Q245" s="1" t="str">
        <f t="shared" si="5"/>
        <v>Paid but No Bank Match</v>
      </c>
    </row>
    <row r="246">
      <c r="A246" s="1" t="s">
        <v>289</v>
      </c>
      <c r="B246" s="1" t="s">
        <v>62</v>
      </c>
      <c r="C246" s="3">
        <v>45856.0</v>
      </c>
      <c r="D246" s="3">
        <v>45901.0</v>
      </c>
      <c r="E246" s="1" t="s">
        <v>50</v>
      </c>
      <c r="F246" s="1" t="s">
        <v>51</v>
      </c>
      <c r="G246" s="1">
        <v>6175.96</v>
      </c>
      <c r="H246" s="1" t="s">
        <v>45</v>
      </c>
      <c r="I246" s="1">
        <v>401.44</v>
      </c>
      <c r="J246" s="1">
        <f t="shared" si="1"/>
        <v>6578.84</v>
      </c>
      <c r="K246" s="1" t="b">
        <v>0</v>
      </c>
      <c r="L246" s="4"/>
      <c r="M246" s="1">
        <v>6577.4</v>
      </c>
      <c r="N246" s="1" t="b">
        <f t="shared" si="2"/>
        <v>1</v>
      </c>
      <c r="O246" s="1" t="b">
        <f t="shared" si="3"/>
        <v>1</v>
      </c>
      <c r="P246" s="1" t="str">
        <f t="shared" si="4"/>
        <v>Bay Area Rentals|-6578.84</v>
      </c>
      <c r="Q246" s="1" t="str">
        <f t="shared" si="5"/>
        <v>Unpaid</v>
      </c>
    </row>
    <row r="247">
      <c r="A247" s="1" t="s">
        <v>290</v>
      </c>
      <c r="B247" s="1" t="s">
        <v>49</v>
      </c>
      <c r="C247" s="3">
        <v>45720.0</v>
      </c>
      <c r="D247" s="3">
        <v>45765.0</v>
      </c>
      <c r="E247" s="1" t="s">
        <v>54</v>
      </c>
      <c r="F247" s="1" t="s">
        <v>24</v>
      </c>
      <c r="G247" s="1">
        <v>20850.74</v>
      </c>
      <c r="H247" s="1" t="s">
        <v>45</v>
      </c>
      <c r="I247" s="1">
        <v>1355.3</v>
      </c>
      <c r="J247" s="1">
        <f t="shared" si="1"/>
        <v>22206.04</v>
      </c>
      <c r="K247" s="1" t="b">
        <v>1</v>
      </c>
      <c r="L247" s="3">
        <v>45781.0</v>
      </c>
      <c r="M247" s="1">
        <v>22206.04</v>
      </c>
      <c r="N247" s="1" t="b">
        <f t="shared" si="2"/>
        <v>0</v>
      </c>
      <c r="O247" s="1" t="b">
        <f t="shared" si="3"/>
        <v>0</v>
      </c>
      <c r="P247" s="1" t="str">
        <f t="shared" si="4"/>
        <v>Sunshine Equipment|-22206.04</v>
      </c>
      <c r="Q247" s="1" t="str">
        <f t="shared" si="5"/>
        <v>Paid but No Bank Match</v>
      </c>
    </row>
    <row r="248">
      <c r="A248" s="1" t="s">
        <v>291</v>
      </c>
      <c r="B248" s="1" t="s">
        <v>62</v>
      </c>
      <c r="C248" s="3">
        <v>45875.0</v>
      </c>
      <c r="D248" s="3">
        <v>45920.0</v>
      </c>
      <c r="E248" s="1" t="s">
        <v>37</v>
      </c>
      <c r="F248" s="1" t="s">
        <v>20</v>
      </c>
      <c r="G248" s="1">
        <v>23953.12</v>
      </c>
      <c r="H248" s="1" t="s">
        <v>21</v>
      </c>
      <c r="I248" s="1">
        <v>1676.72</v>
      </c>
      <c r="J248" s="1">
        <f t="shared" si="1"/>
        <v>25629.84</v>
      </c>
      <c r="K248" s="1" t="b">
        <v>1</v>
      </c>
      <c r="L248" s="3">
        <v>45884.0</v>
      </c>
      <c r="M248" s="1">
        <v>25629.84</v>
      </c>
      <c r="N248" s="1" t="b">
        <f t="shared" si="2"/>
        <v>0</v>
      </c>
      <c r="O248" s="1" t="b">
        <f t="shared" si="3"/>
        <v>0</v>
      </c>
      <c r="P248" s="1" t="str">
        <f t="shared" si="4"/>
        <v>Bay Area Rentals|-25629.84</v>
      </c>
      <c r="Q248" s="1" t="str">
        <f t="shared" si="5"/>
        <v>Paid but No Bank Match</v>
      </c>
    </row>
    <row r="249">
      <c r="A249" s="1" t="s">
        <v>292</v>
      </c>
      <c r="B249" s="1" t="s">
        <v>18</v>
      </c>
      <c r="C249" s="3">
        <v>45918.0</v>
      </c>
      <c r="D249" s="3">
        <v>45963.0</v>
      </c>
      <c r="E249" s="1" t="s">
        <v>19</v>
      </c>
      <c r="F249" s="1" t="s">
        <v>24</v>
      </c>
      <c r="G249" s="1">
        <v>5799.94</v>
      </c>
      <c r="H249" s="1" t="s">
        <v>34</v>
      </c>
      <c r="I249" s="1">
        <v>435.0</v>
      </c>
      <c r="J249" s="1">
        <f t="shared" si="1"/>
        <v>6234.94</v>
      </c>
      <c r="K249" s="1" t="b">
        <v>1</v>
      </c>
      <c r="L249" s="3">
        <v>45942.0</v>
      </c>
      <c r="M249" s="1">
        <v>6234.94</v>
      </c>
      <c r="N249" s="1" t="b">
        <f t="shared" si="2"/>
        <v>0</v>
      </c>
      <c r="O249" s="1" t="b">
        <f t="shared" si="3"/>
        <v>0</v>
      </c>
      <c r="P249" s="1" t="str">
        <f t="shared" si="4"/>
        <v>Tri-County Services|-6234.94</v>
      </c>
      <c r="Q249" s="1" t="str">
        <f t="shared" si="5"/>
        <v>Paid but No Bank Match</v>
      </c>
    </row>
    <row r="250">
      <c r="A250" s="1" t="s">
        <v>293</v>
      </c>
      <c r="B250" s="1" t="s">
        <v>40</v>
      </c>
      <c r="C250" s="3">
        <v>45898.0</v>
      </c>
      <c r="D250" s="3">
        <v>45943.0</v>
      </c>
      <c r="E250" s="1" t="s">
        <v>19</v>
      </c>
      <c r="F250" s="1" t="s">
        <v>20</v>
      </c>
      <c r="G250" s="1">
        <v>10207.93</v>
      </c>
      <c r="H250" s="1" t="s">
        <v>21</v>
      </c>
      <c r="I250" s="1">
        <v>714.56</v>
      </c>
      <c r="J250" s="1">
        <f t="shared" si="1"/>
        <v>10922.49</v>
      </c>
      <c r="K250" s="1" t="b">
        <v>1</v>
      </c>
      <c r="L250" s="3">
        <v>45964.0</v>
      </c>
      <c r="M250" s="1">
        <v>10922.49</v>
      </c>
      <c r="N250" s="1" t="b">
        <f t="shared" si="2"/>
        <v>0</v>
      </c>
      <c r="O250" s="1" t="b">
        <f t="shared" si="3"/>
        <v>0</v>
      </c>
      <c r="P250" s="1" t="str">
        <f t="shared" si="4"/>
        <v>Gulf Coast Telecom|-10922.49</v>
      </c>
      <c r="Q250" s="1" t="str">
        <f t="shared" si="5"/>
        <v>Paid but No Bank Match</v>
      </c>
    </row>
    <row r="251">
      <c r="A251" s="1" t="s">
        <v>294</v>
      </c>
      <c r="B251" s="1" t="s">
        <v>30</v>
      </c>
      <c r="C251" s="3">
        <v>45802.0</v>
      </c>
      <c r="D251" s="3">
        <v>45832.0</v>
      </c>
      <c r="E251" s="1" t="s">
        <v>31</v>
      </c>
      <c r="F251" s="1" t="s">
        <v>20</v>
      </c>
      <c r="G251" s="1">
        <v>20487.91</v>
      </c>
      <c r="H251" s="1" t="s">
        <v>34</v>
      </c>
      <c r="I251" s="1">
        <v>1536.59</v>
      </c>
      <c r="J251" s="1">
        <f t="shared" si="1"/>
        <v>22023.28</v>
      </c>
      <c r="K251" s="1" t="b">
        <v>1</v>
      </c>
      <c r="L251" s="3">
        <v>45820.0</v>
      </c>
      <c r="M251" s="1">
        <v>22024.5</v>
      </c>
      <c r="N251" s="1" t="b">
        <f t="shared" si="2"/>
        <v>1</v>
      </c>
      <c r="O251" s="1" t="b">
        <f t="shared" si="3"/>
        <v>0</v>
      </c>
      <c r="P251" s="1" t="str">
        <f t="shared" si="4"/>
        <v>Tidal Contractors|-22023.28</v>
      </c>
      <c r="Q251" s="1" t="str">
        <f t="shared" si="5"/>
        <v>Paid but No Bank Match</v>
      </c>
    </row>
    <row r="252">
      <c r="A252" s="1" t="s">
        <v>295</v>
      </c>
      <c r="B252" s="1" t="s">
        <v>62</v>
      </c>
      <c r="C252" s="3">
        <v>46014.0</v>
      </c>
      <c r="D252" s="3">
        <v>46059.0</v>
      </c>
      <c r="E252" s="1" t="s">
        <v>54</v>
      </c>
      <c r="F252" s="1" t="s">
        <v>24</v>
      </c>
      <c r="G252" s="1">
        <v>21997.79</v>
      </c>
      <c r="H252" s="1" t="s">
        <v>45</v>
      </c>
      <c r="I252" s="1">
        <v>1429.86</v>
      </c>
      <c r="J252" s="1">
        <f t="shared" si="1"/>
        <v>23427.65</v>
      </c>
      <c r="K252" s="1" t="b">
        <v>0</v>
      </c>
      <c r="L252" s="4"/>
      <c r="M252" s="1">
        <v>23427.65</v>
      </c>
      <c r="N252" s="1" t="b">
        <f t="shared" si="2"/>
        <v>0</v>
      </c>
      <c r="O252" s="1" t="b">
        <f t="shared" si="3"/>
        <v>1</v>
      </c>
      <c r="P252" s="1" t="str">
        <f t="shared" si="4"/>
        <v>Bay Area Rentals|-23427.65</v>
      </c>
      <c r="Q252" s="1" t="str">
        <f t="shared" si="5"/>
        <v>Unpaid</v>
      </c>
    </row>
    <row r="253">
      <c r="A253" s="1" t="s">
        <v>296</v>
      </c>
      <c r="B253" s="1" t="s">
        <v>59</v>
      </c>
      <c r="C253" s="3">
        <v>45794.0</v>
      </c>
      <c r="D253" s="3">
        <v>45839.0</v>
      </c>
      <c r="E253" s="1" t="s">
        <v>37</v>
      </c>
      <c r="F253" s="1" t="s">
        <v>24</v>
      </c>
      <c r="G253" s="1">
        <v>21378.74</v>
      </c>
      <c r="H253" s="1" t="s">
        <v>21</v>
      </c>
      <c r="I253" s="1">
        <v>1496.51</v>
      </c>
      <c r="J253" s="1">
        <f t="shared" si="1"/>
        <v>22875.81</v>
      </c>
      <c r="K253" s="1" t="b">
        <v>1</v>
      </c>
      <c r="L253" s="3">
        <v>45838.0</v>
      </c>
      <c r="M253" s="1">
        <v>22875.25</v>
      </c>
      <c r="N253" s="1" t="b">
        <f t="shared" si="2"/>
        <v>1</v>
      </c>
      <c r="O253" s="1" t="b">
        <f t="shared" si="3"/>
        <v>0</v>
      </c>
      <c r="P253" s="1" t="str">
        <f t="shared" si="4"/>
        <v>Skyline Engineering|-22875.81</v>
      </c>
      <c r="Q253" s="1" t="str">
        <f t="shared" si="5"/>
        <v>Paid but No Bank Match</v>
      </c>
    </row>
    <row r="254">
      <c r="A254" s="1" t="s">
        <v>297</v>
      </c>
      <c r="B254" s="1" t="s">
        <v>36</v>
      </c>
      <c r="C254" s="3">
        <v>45682.0</v>
      </c>
      <c r="D254" s="3">
        <v>45727.0</v>
      </c>
      <c r="E254" s="1" t="s">
        <v>50</v>
      </c>
      <c r="F254" s="1" t="s">
        <v>24</v>
      </c>
      <c r="G254" s="1">
        <v>2631.18</v>
      </c>
      <c r="H254" s="1" t="s">
        <v>45</v>
      </c>
      <c r="I254" s="1">
        <v>171.03</v>
      </c>
      <c r="J254" s="1">
        <f t="shared" si="1"/>
        <v>2802.21</v>
      </c>
      <c r="K254" s="1" t="b">
        <v>1</v>
      </c>
      <c r="L254" s="3">
        <v>45724.0</v>
      </c>
      <c r="M254" s="1">
        <v>2802.21</v>
      </c>
      <c r="N254" s="1" t="b">
        <f t="shared" si="2"/>
        <v>0</v>
      </c>
      <c r="O254" s="1" t="b">
        <f t="shared" si="3"/>
        <v>0</v>
      </c>
      <c r="P254" s="1" t="str">
        <f t="shared" si="4"/>
        <v>Tampa Grid Services|-2802.21</v>
      </c>
      <c r="Q254" s="1" t="str">
        <f t="shared" si="5"/>
        <v>Paid but No Bank Match</v>
      </c>
    </row>
    <row r="255">
      <c r="A255" s="1" t="s">
        <v>298</v>
      </c>
      <c r="B255" s="1" t="s">
        <v>30</v>
      </c>
      <c r="C255" s="3">
        <v>45985.0</v>
      </c>
      <c r="D255" s="3">
        <v>46030.0</v>
      </c>
      <c r="E255" s="1" t="s">
        <v>19</v>
      </c>
      <c r="F255" s="1" t="s">
        <v>20</v>
      </c>
      <c r="G255" s="1">
        <v>1695.2</v>
      </c>
      <c r="H255" s="1" t="s">
        <v>21</v>
      </c>
      <c r="I255" s="1">
        <v>118.66</v>
      </c>
      <c r="J255" s="1">
        <f t="shared" si="1"/>
        <v>1813.86</v>
      </c>
      <c r="K255" s="1" t="b">
        <v>0</v>
      </c>
      <c r="L255" s="4"/>
      <c r="M255" s="1">
        <v>1813.86</v>
      </c>
      <c r="N255" s="1" t="b">
        <f t="shared" si="2"/>
        <v>0</v>
      </c>
      <c r="O255" s="1" t="b">
        <f t="shared" si="3"/>
        <v>1</v>
      </c>
      <c r="P255" s="1" t="str">
        <f t="shared" si="4"/>
        <v>Tidal Contractors|-1813.86</v>
      </c>
      <c r="Q255" s="1" t="str">
        <f t="shared" si="5"/>
        <v>Unpaid</v>
      </c>
    </row>
    <row r="256">
      <c r="A256" s="1" t="s">
        <v>299</v>
      </c>
      <c r="B256" s="1" t="s">
        <v>62</v>
      </c>
      <c r="C256" s="3">
        <v>45973.0</v>
      </c>
      <c r="D256" s="3">
        <v>46003.0</v>
      </c>
      <c r="E256" s="1" t="s">
        <v>31</v>
      </c>
      <c r="F256" s="1" t="s">
        <v>20</v>
      </c>
      <c r="G256" s="1">
        <v>22414.76</v>
      </c>
      <c r="H256" s="1" t="s">
        <v>34</v>
      </c>
      <c r="I256" s="1">
        <v>1681.11</v>
      </c>
      <c r="J256" s="1">
        <f t="shared" si="1"/>
        <v>24095.87</v>
      </c>
      <c r="K256" s="1" t="b">
        <v>0</v>
      </c>
      <c r="L256" s="4"/>
      <c r="M256" s="1">
        <v>24095.87</v>
      </c>
      <c r="N256" s="1" t="b">
        <f t="shared" si="2"/>
        <v>0</v>
      </c>
      <c r="O256" s="1" t="b">
        <f t="shared" si="3"/>
        <v>1</v>
      </c>
      <c r="P256" s="1" t="str">
        <f t="shared" si="4"/>
        <v>Bay Area Rentals|-24095.87</v>
      </c>
      <c r="Q256" s="1" t="str">
        <f t="shared" si="5"/>
        <v>Unpaid</v>
      </c>
    </row>
    <row r="257">
      <c r="A257" s="1" t="s">
        <v>300</v>
      </c>
      <c r="B257" s="1" t="s">
        <v>36</v>
      </c>
      <c r="C257" s="3">
        <v>45771.0</v>
      </c>
      <c r="D257" s="3">
        <v>45816.0</v>
      </c>
      <c r="E257" s="1" t="s">
        <v>37</v>
      </c>
      <c r="F257" s="1" t="s">
        <v>20</v>
      </c>
      <c r="G257" s="1">
        <v>12274.37</v>
      </c>
      <c r="H257" s="1" t="s">
        <v>45</v>
      </c>
      <c r="I257" s="1">
        <v>797.83</v>
      </c>
      <c r="J257" s="1">
        <f t="shared" si="1"/>
        <v>13072.2</v>
      </c>
      <c r="K257" s="1" t="b">
        <v>1</v>
      </c>
      <c r="L257" s="3">
        <v>45833.0</v>
      </c>
      <c r="M257" s="1">
        <v>13072.2</v>
      </c>
      <c r="N257" s="1" t="b">
        <f t="shared" si="2"/>
        <v>0</v>
      </c>
      <c r="O257" s="1" t="b">
        <f t="shared" si="3"/>
        <v>0</v>
      </c>
      <c r="P257" s="1" t="str">
        <f t="shared" si="4"/>
        <v>Tampa Grid Services|-13072.2</v>
      </c>
      <c r="Q257" s="1" t="str">
        <f t="shared" si="5"/>
        <v>Paid but No Bank Match</v>
      </c>
    </row>
    <row r="258">
      <c r="A258" s="1" t="s">
        <v>301</v>
      </c>
      <c r="B258" s="1" t="s">
        <v>27</v>
      </c>
      <c r="C258" s="3">
        <v>45980.0</v>
      </c>
      <c r="D258" s="3">
        <v>46010.0</v>
      </c>
      <c r="E258" s="1" t="s">
        <v>50</v>
      </c>
      <c r="F258" s="1" t="s">
        <v>47</v>
      </c>
      <c r="G258" s="1">
        <v>17111.4</v>
      </c>
      <c r="H258" s="1" t="s">
        <v>34</v>
      </c>
      <c r="I258" s="1">
        <v>0.0</v>
      </c>
      <c r="J258" s="1">
        <f t="shared" si="1"/>
        <v>17110.07</v>
      </c>
      <c r="K258" s="1" t="b">
        <v>1</v>
      </c>
      <c r="L258" s="3">
        <v>46017.0</v>
      </c>
      <c r="M258" s="1">
        <v>17111.4</v>
      </c>
      <c r="N258" s="1" t="b">
        <f t="shared" si="2"/>
        <v>1</v>
      </c>
      <c r="O258" s="1" t="b">
        <f t="shared" si="3"/>
        <v>0</v>
      </c>
      <c r="P258" s="1" t="str">
        <f t="shared" si="4"/>
        <v>Sunline Electrical|-17110.07</v>
      </c>
      <c r="Q258" s="1" t="str">
        <f t="shared" si="5"/>
        <v>Paid but No Bank Match</v>
      </c>
    </row>
    <row r="259">
      <c r="A259" s="1" t="s">
        <v>302</v>
      </c>
      <c r="B259" s="1" t="s">
        <v>36</v>
      </c>
      <c r="C259" s="3">
        <v>45919.0</v>
      </c>
      <c r="D259" s="3">
        <v>45949.0</v>
      </c>
      <c r="E259" s="1" t="s">
        <v>19</v>
      </c>
      <c r="F259" s="1" t="s">
        <v>28</v>
      </c>
      <c r="G259" s="1">
        <v>21769.94</v>
      </c>
      <c r="H259" s="1" t="s">
        <v>25</v>
      </c>
      <c r="I259" s="1">
        <v>1306.2</v>
      </c>
      <c r="J259" s="1">
        <f t="shared" si="1"/>
        <v>23077.07</v>
      </c>
      <c r="K259" s="1" t="b">
        <v>1</v>
      </c>
      <c r="L259" s="3">
        <v>45982.0</v>
      </c>
      <c r="M259" s="1">
        <v>23076.14</v>
      </c>
      <c r="N259" s="1" t="b">
        <f t="shared" si="2"/>
        <v>1</v>
      </c>
      <c r="O259" s="1" t="b">
        <f t="shared" si="3"/>
        <v>0</v>
      </c>
      <c r="P259" s="1" t="str">
        <f t="shared" si="4"/>
        <v>Tampa Grid Services|-23077.07</v>
      </c>
      <c r="Q259" s="1" t="str">
        <f t="shared" si="5"/>
        <v>Paid but No Bank Match</v>
      </c>
    </row>
    <row r="260">
      <c r="A260" s="1" t="s">
        <v>303</v>
      </c>
      <c r="B260" s="1" t="s">
        <v>62</v>
      </c>
      <c r="C260" s="3">
        <v>45716.0</v>
      </c>
      <c r="D260" s="3">
        <v>45761.0</v>
      </c>
      <c r="E260" s="1" t="s">
        <v>37</v>
      </c>
      <c r="F260" s="1" t="s">
        <v>28</v>
      </c>
      <c r="G260" s="1">
        <v>8683.22</v>
      </c>
      <c r="H260" s="1" t="s">
        <v>45</v>
      </c>
      <c r="I260" s="1">
        <v>564.41</v>
      </c>
      <c r="J260" s="1">
        <f t="shared" si="1"/>
        <v>9247.11</v>
      </c>
      <c r="K260" s="1" t="b">
        <v>1</v>
      </c>
      <c r="L260" s="3">
        <v>45773.0</v>
      </c>
      <c r="M260" s="1">
        <v>9247.63</v>
      </c>
      <c r="N260" s="1" t="b">
        <f t="shared" si="2"/>
        <v>1</v>
      </c>
      <c r="O260" s="1" t="b">
        <f t="shared" si="3"/>
        <v>0</v>
      </c>
      <c r="P260" s="1" t="str">
        <f t="shared" si="4"/>
        <v>Bay Area Rentals|-9247.11</v>
      </c>
      <c r="Q260" s="1" t="str">
        <f t="shared" si="5"/>
        <v>Paid but No Bank Match</v>
      </c>
    </row>
    <row r="261">
      <c r="A261" s="1" t="s">
        <v>304</v>
      </c>
      <c r="B261" s="1" t="s">
        <v>90</v>
      </c>
      <c r="C261" s="3">
        <v>45827.0</v>
      </c>
      <c r="D261" s="3">
        <v>45872.0</v>
      </c>
      <c r="E261" s="1" t="s">
        <v>31</v>
      </c>
      <c r="F261" s="1" t="s">
        <v>24</v>
      </c>
      <c r="G261" s="1">
        <v>17625.27</v>
      </c>
      <c r="H261" s="1" t="s">
        <v>34</v>
      </c>
      <c r="I261" s="1">
        <v>1321.9</v>
      </c>
      <c r="J261" s="1">
        <f t="shared" si="1"/>
        <v>18947.17</v>
      </c>
      <c r="K261" s="1" t="b">
        <v>1</v>
      </c>
      <c r="L261" s="3">
        <v>45836.0</v>
      </c>
      <c r="M261" s="1">
        <v>18947.17</v>
      </c>
      <c r="N261" s="1" t="b">
        <f t="shared" si="2"/>
        <v>0</v>
      </c>
      <c r="O261" s="1" t="b">
        <f t="shared" si="3"/>
        <v>0</v>
      </c>
      <c r="P261" s="1" t="str">
        <f t="shared" si="4"/>
        <v>Peak Materials Supply|-18947.17</v>
      </c>
      <c r="Q261" s="1" t="str">
        <f t="shared" si="5"/>
        <v>Paid but No Bank Match</v>
      </c>
    </row>
    <row r="262">
      <c r="A262" s="1" t="s">
        <v>305</v>
      </c>
      <c r="B262" s="1" t="s">
        <v>36</v>
      </c>
      <c r="C262" s="3">
        <v>45892.0</v>
      </c>
      <c r="D262" s="3">
        <v>45922.0</v>
      </c>
      <c r="E262" s="1" t="s">
        <v>31</v>
      </c>
      <c r="F262" s="1" t="s">
        <v>32</v>
      </c>
      <c r="G262" s="1">
        <v>11904.02</v>
      </c>
      <c r="H262" s="1" t="s">
        <v>34</v>
      </c>
      <c r="I262" s="1">
        <v>892.8</v>
      </c>
      <c r="J262" s="1">
        <f t="shared" si="1"/>
        <v>12796.82</v>
      </c>
      <c r="K262" s="1" t="b">
        <v>0</v>
      </c>
      <c r="L262" s="4"/>
      <c r="M262" s="1">
        <v>12796.82</v>
      </c>
      <c r="N262" s="1" t="b">
        <f t="shared" si="2"/>
        <v>0</v>
      </c>
      <c r="O262" s="1" t="b">
        <f t="shared" si="3"/>
        <v>1</v>
      </c>
      <c r="P262" s="1" t="str">
        <f t="shared" si="4"/>
        <v>Tampa Grid Services|-12796.82</v>
      </c>
      <c r="Q262" s="1" t="str">
        <f t="shared" si="5"/>
        <v>Unpaid</v>
      </c>
    </row>
    <row r="263">
      <c r="A263" s="1" t="s">
        <v>306</v>
      </c>
      <c r="B263" s="1" t="s">
        <v>90</v>
      </c>
      <c r="C263" s="3">
        <v>45817.0</v>
      </c>
      <c r="D263" s="3">
        <v>45862.0</v>
      </c>
      <c r="E263" s="1" t="s">
        <v>54</v>
      </c>
      <c r="F263" s="1" t="s">
        <v>47</v>
      </c>
      <c r="G263" s="1">
        <v>18715.95</v>
      </c>
      <c r="H263" s="1" t="s">
        <v>25</v>
      </c>
      <c r="I263" s="1">
        <v>1122.96</v>
      </c>
      <c r="J263" s="1">
        <f t="shared" si="1"/>
        <v>19838.91</v>
      </c>
      <c r="K263" s="1" t="b">
        <v>1</v>
      </c>
      <c r="L263" s="3">
        <v>45823.0</v>
      </c>
      <c r="M263" s="1">
        <v>19838.91</v>
      </c>
      <c r="N263" s="1" t="b">
        <f t="shared" si="2"/>
        <v>0</v>
      </c>
      <c r="O263" s="1" t="b">
        <f t="shared" si="3"/>
        <v>0</v>
      </c>
      <c r="P263" s="1" t="str">
        <f t="shared" si="4"/>
        <v>Peak Materials Supply|-19838.91</v>
      </c>
      <c r="Q263" s="1" t="str">
        <f t="shared" si="5"/>
        <v>Paid but No Bank Match</v>
      </c>
    </row>
    <row r="264">
      <c r="A264" s="1" t="s">
        <v>307</v>
      </c>
      <c r="B264" s="1" t="s">
        <v>62</v>
      </c>
      <c r="C264" s="3">
        <v>45863.0</v>
      </c>
      <c r="D264" s="3">
        <v>45908.0</v>
      </c>
      <c r="E264" s="1" t="s">
        <v>50</v>
      </c>
      <c r="F264" s="1" t="s">
        <v>24</v>
      </c>
      <c r="G264" s="1">
        <v>6837.86</v>
      </c>
      <c r="H264" s="1" t="s">
        <v>45</v>
      </c>
      <c r="I264" s="1">
        <v>444.46</v>
      </c>
      <c r="J264" s="1">
        <f t="shared" si="1"/>
        <v>7283.42</v>
      </c>
      <c r="K264" s="1" t="b">
        <v>1</v>
      </c>
      <c r="L264" s="3">
        <v>45880.0</v>
      </c>
      <c r="M264" s="1">
        <v>7282.32</v>
      </c>
      <c r="N264" s="1" t="b">
        <f t="shared" si="2"/>
        <v>1</v>
      </c>
      <c r="O264" s="1" t="b">
        <f t="shared" si="3"/>
        <v>0</v>
      </c>
      <c r="P264" s="1" t="str">
        <f t="shared" si="4"/>
        <v>Bay Area Rentals|-7283.42</v>
      </c>
      <c r="Q264" s="1" t="str">
        <f t="shared" si="5"/>
        <v>Paid but No Bank Match</v>
      </c>
    </row>
    <row r="265">
      <c r="A265" s="1" t="s">
        <v>308</v>
      </c>
      <c r="B265" s="1" t="s">
        <v>62</v>
      </c>
      <c r="C265" s="3">
        <v>45703.0</v>
      </c>
      <c r="D265" s="3">
        <v>45733.0</v>
      </c>
      <c r="E265" s="1" t="s">
        <v>37</v>
      </c>
      <c r="F265" s="1" t="s">
        <v>47</v>
      </c>
      <c r="G265" s="1">
        <v>14216.19</v>
      </c>
      <c r="H265" s="1" t="s">
        <v>45</v>
      </c>
      <c r="I265" s="1">
        <v>924.05</v>
      </c>
      <c r="J265" s="1">
        <f t="shared" si="1"/>
        <v>15140.24</v>
      </c>
      <c r="K265" s="1" t="b">
        <v>1</v>
      </c>
      <c r="L265" s="3">
        <v>45767.0</v>
      </c>
      <c r="M265" s="1">
        <v>15140.24</v>
      </c>
      <c r="N265" s="1" t="b">
        <f t="shared" si="2"/>
        <v>0</v>
      </c>
      <c r="O265" s="1" t="b">
        <f t="shared" si="3"/>
        <v>0</v>
      </c>
      <c r="P265" s="1" t="str">
        <f t="shared" si="4"/>
        <v>Bay Area Rentals|-15140.24</v>
      </c>
      <c r="Q265" s="1" t="str">
        <f t="shared" si="5"/>
        <v>Paid but No Bank Match</v>
      </c>
    </row>
    <row r="266">
      <c r="A266" s="1" t="s">
        <v>309</v>
      </c>
      <c r="B266" s="1" t="s">
        <v>27</v>
      </c>
      <c r="C266" s="3">
        <v>46001.0</v>
      </c>
      <c r="D266" s="3">
        <v>46031.0</v>
      </c>
      <c r="E266" s="1" t="s">
        <v>54</v>
      </c>
      <c r="F266" s="1" t="s">
        <v>24</v>
      </c>
      <c r="G266" s="1">
        <v>3646.99</v>
      </c>
      <c r="H266" s="1" t="s">
        <v>34</v>
      </c>
      <c r="I266" s="1">
        <v>273.52</v>
      </c>
      <c r="J266" s="1">
        <f t="shared" si="1"/>
        <v>3920.51</v>
      </c>
      <c r="K266" s="1" t="b">
        <v>0</v>
      </c>
      <c r="L266" s="4"/>
      <c r="M266" s="1">
        <v>3920.51</v>
      </c>
      <c r="N266" s="1" t="b">
        <f t="shared" si="2"/>
        <v>0</v>
      </c>
      <c r="O266" s="1" t="b">
        <f t="shared" si="3"/>
        <v>1</v>
      </c>
      <c r="P266" s="1" t="str">
        <f t="shared" si="4"/>
        <v>Sunline Electrical|-3920.51</v>
      </c>
      <c r="Q266" s="1" t="str">
        <f t="shared" si="5"/>
        <v>Unpaid</v>
      </c>
    </row>
    <row r="267">
      <c r="A267" s="1" t="s">
        <v>310</v>
      </c>
      <c r="B267" s="1" t="s">
        <v>23</v>
      </c>
      <c r="C267" s="3">
        <v>45717.0</v>
      </c>
      <c r="D267" s="3">
        <v>45762.0</v>
      </c>
      <c r="E267" s="1" t="s">
        <v>50</v>
      </c>
      <c r="F267" s="1" t="s">
        <v>28</v>
      </c>
      <c r="G267" s="1">
        <v>18965.62</v>
      </c>
      <c r="H267" s="1" t="s">
        <v>45</v>
      </c>
      <c r="I267" s="1">
        <v>1232.77</v>
      </c>
      <c r="J267" s="1">
        <f t="shared" si="1"/>
        <v>20199.67</v>
      </c>
      <c r="K267" s="1" t="b">
        <v>1</v>
      </c>
      <c r="L267" s="3">
        <v>45741.0</v>
      </c>
      <c r="M267" s="1">
        <v>20198.39</v>
      </c>
      <c r="N267" s="1" t="b">
        <f t="shared" si="2"/>
        <v>1</v>
      </c>
      <c r="O267" s="1" t="b">
        <f t="shared" si="3"/>
        <v>0</v>
      </c>
      <c r="P267" s="1" t="str">
        <f t="shared" si="4"/>
        <v>Atlantic Fiber Co|-20199.67</v>
      </c>
      <c r="Q267" s="1" t="str">
        <f t="shared" si="5"/>
        <v>Paid but No Bank Match</v>
      </c>
    </row>
    <row r="268">
      <c r="A268" s="1" t="s">
        <v>311</v>
      </c>
      <c r="B268" s="1" t="s">
        <v>90</v>
      </c>
      <c r="C268" s="3">
        <v>46009.0</v>
      </c>
      <c r="D268" s="3">
        <v>46054.0</v>
      </c>
      <c r="E268" s="1" t="s">
        <v>19</v>
      </c>
      <c r="F268" s="1" t="s">
        <v>24</v>
      </c>
      <c r="G268" s="1">
        <v>23708.8</v>
      </c>
      <c r="H268" s="1" t="s">
        <v>25</v>
      </c>
      <c r="I268" s="1">
        <v>2845.06</v>
      </c>
      <c r="J268" s="1">
        <f t="shared" si="1"/>
        <v>26553.86</v>
      </c>
      <c r="K268" s="1" t="b">
        <v>0</v>
      </c>
      <c r="L268" s="4"/>
      <c r="M268" s="1">
        <v>26553.86</v>
      </c>
      <c r="N268" s="1" t="b">
        <f t="shared" si="2"/>
        <v>0</v>
      </c>
      <c r="O268" s="1" t="b">
        <f t="shared" si="3"/>
        <v>1</v>
      </c>
      <c r="P268" s="1" t="str">
        <f t="shared" si="4"/>
        <v>Peak Materials Supply|-26553.86</v>
      </c>
      <c r="Q268" s="1" t="str">
        <f t="shared" si="5"/>
        <v>Unpaid</v>
      </c>
    </row>
    <row r="269">
      <c r="A269" s="1" t="s">
        <v>312</v>
      </c>
      <c r="B269" s="1" t="s">
        <v>42</v>
      </c>
      <c r="C269" s="3">
        <v>45850.0</v>
      </c>
      <c r="D269" s="3">
        <v>45895.0</v>
      </c>
      <c r="E269" s="1" t="s">
        <v>50</v>
      </c>
      <c r="F269" s="1" t="s">
        <v>28</v>
      </c>
      <c r="G269" s="1">
        <v>2330.01</v>
      </c>
      <c r="H269" s="1" t="s">
        <v>25</v>
      </c>
      <c r="I269" s="1">
        <v>139.8</v>
      </c>
      <c r="J269" s="1">
        <f t="shared" si="1"/>
        <v>2469.81</v>
      </c>
      <c r="K269" s="1" t="b">
        <v>0</v>
      </c>
      <c r="L269" s="4"/>
      <c r="M269" s="1">
        <v>2469.81</v>
      </c>
      <c r="N269" s="1" t="b">
        <f t="shared" si="2"/>
        <v>0</v>
      </c>
      <c r="O269" s="1" t="b">
        <f t="shared" si="3"/>
        <v>1</v>
      </c>
      <c r="P269" s="1" t="str">
        <f t="shared" si="4"/>
        <v>BrightPower Partners|-2469.81</v>
      </c>
      <c r="Q269" s="1" t="str">
        <f t="shared" si="5"/>
        <v>Unpaid</v>
      </c>
    </row>
    <row r="270">
      <c r="A270" s="1" t="s">
        <v>313</v>
      </c>
      <c r="B270" s="1" t="s">
        <v>30</v>
      </c>
      <c r="C270" s="3">
        <v>45927.0</v>
      </c>
      <c r="D270" s="3">
        <v>45957.0</v>
      </c>
      <c r="E270" s="1" t="s">
        <v>31</v>
      </c>
      <c r="F270" s="1" t="s">
        <v>60</v>
      </c>
      <c r="G270" s="1">
        <v>24237.51</v>
      </c>
      <c r="H270" s="1" t="s">
        <v>45</v>
      </c>
      <c r="I270" s="1">
        <v>1575.44</v>
      </c>
      <c r="J270" s="1">
        <f t="shared" si="1"/>
        <v>25812.95</v>
      </c>
      <c r="K270" s="1" t="b">
        <v>1</v>
      </c>
      <c r="L270" s="3">
        <v>45983.0</v>
      </c>
      <c r="M270" s="1">
        <v>25812.95</v>
      </c>
      <c r="N270" s="1" t="b">
        <f t="shared" si="2"/>
        <v>0</v>
      </c>
      <c r="O270" s="1" t="b">
        <f t="shared" si="3"/>
        <v>0</v>
      </c>
      <c r="P270" s="1" t="str">
        <f t="shared" si="4"/>
        <v>Tidal Contractors|-25812.95</v>
      </c>
      <c r="Q270" s="1" t="str">
        <f t="shared" si="5"/>
        <v>Paid but No Bank Match</v>
      </c>
    </row>
    <row r="271">
      <c r="A271" s="1" t="s">
        <v>314</v>
      </c>
      <c r="B271" s="1" t="s">
        <v>40</v>
      </c>
      <c r="C271" s="3">
        <v>45664.0</v>
      </c>
      <c r="D271" s="3">
        <v>45709.0</v>
      </c>
      <c r="E271" s="1" t="s">
        <v>19</v>
      </c>
      <c r="F271" s="1" t="s">
        <v>47</v>
      </c>
      <c r="G271" s="1">
        <v>20627.07</v>
      </c>
      <c r="H271" s="1" t="s">
        <v>34</v>
      </c>
      <c r="I271" s="1">
        <v>1547.03</v>
      </c>
      <c r="J271" s="1">
        <f t="shared" si="1"/>
        <v>22174.1</v>
      </c>
      <c r="K271" s="1" t="b">
        <v>1</v>
      </c>
      <c r="L271" s="3">
        <v>45700.0</v>
      </c>
      <c r="M271" s="1">
        <v>22174.1</v>
      </c>
      <c r="N271" s="1" t="b">
        <f t="shared" si="2"/>
        <v>0</v>
      </c>
      <c r="O271" s="1" t="b">
        <f t="shared" si="3"/>
        <v>0</v>
      </c>
      <c r="P271" s="1" t="str">
        <f t="shared" si="4"/>
        <v>Gulf Coast Telecom|-22174.1</v>
      </c>
      <c r="Q271" s="1" t="str">
        <f t="shared" si="5"/>
        <v>Paid but No Bank Match</v>
      </c>
    </row>
    <row r="272">
      <c r="A272" s="1" t="s">
        <v>315</v>
      </c>
      <c r="B272" s="1" t="s">
        <v>49</v>
      </c>
      <c r="C272" s="3">
        <v>45715.0</v>
      </c>
      <c r="D272" s="3">
        <v>45745.0</v>
      </c>
      <c r="E272" s="1" t="s">
        <v>37</v>
      </c>
      <c r="F272" s="1" t="s">
        <v>47</v>
      </c>
      <c r="G272" s="1">
        <v>4393.99</v>
      </c>
      <c r="H272" s="1" t="s">
        <v>25</v>
      </c>
      <c r="I272" s="1">
        <v>263.64</v>
      </c>
      <c r="J272" s="1">
        <f t="shared" si="1"/>
        <v>4657.63</v>
      </c>
      <c r="K272" s="1" t="b">
        <v>1</v>
      </c>
      <c r="L272" s="3">
        <v>45723.0</v>
      </c>
      <c r="M272" s="1">
        <v>4657.63</v>
      </c>
      <c r="N272" s="1" t="b">
        <f t="shared" si="2"/>
        <v>0</v>
      </c>
      <c r="O272" s="1" t="b">
        <f t="shared" si="3"/>
        <v>0</v>
      </c>
      <c r="P272" s="1" t="str">
        <f t="shared" si="4"/>
        <v>Sunshine Equipment|-4657.63</v>
      </c>
      <c r="Q272" s="1" t="str">
        <f t="shared" si="5"/>
        <v>Paid but No Bank Match</v>
      </c>
    </row>
    <row r="273">
      <c r="A273" s="1" t="s">
        <v>316</v>
      </c>
      <c r="B273" s="1" t="s">
        <v>42</v>
      </c>
      <c r="C273" s="3">
        <v>45756.0</v>
      </c>
      <c r="D273" s="3">
        <v>45801.0</v>
      </c>
      <c r="E273" s="1" t="s">
        <v>37</v>
      </c>
      <c r="F273" s="1" t="s">
        <v>24</v>
      </c>
      <c r="G273" s="1">
        <v>4508.78</v>
      </c>
      <c r="H273" s="1" t="s">
        <v>25</v>
      </c>
      <c r="I273" s="1">
        <v>270.53</v>
      </c>
      <c r="J273" s="1">
        <f t="shared" si="1"/>
        <v>4779.31</v>
      </c>
      <c r="K273" s="1" t="b">
        <v>1</v>
      </c>
      <c r="L273" s="3">
        <v>45789.0</v>
      </c>
      <c r="M273" s="1">
        <v>4779.31</v>
      </c>
      <c r="N273" s="1" t="b">
        <f t="shared" si="2"/>
        <v>0</v>
      </c>
      <c r="O273" s="1" t="b">
        <f t="shared" si="3"/>
        <v>0</v>
      </c>
      <c r="P273" s="1" t="str">
        <f t="shared" si="4"/>
        <v>BrightPower Partners|-4779.31</v>
      </c>
      <c r="Q273" s="1" t="str">
        <f t="shared" si="5"/>
        <v>Paid but No Bank Match</v>
      </c>
    </row>
    <row r="274">
      <c r="A274" s="1" t="s">
        <v>317</v>
      </c>
      <c r="B274" s="1" t="s">
        <v>27</v>
      </c>
      <c r="C274" s="3">
        <v>45732.0</v>
      </c>
      <c r="D274" s="3">
        <v>45777.0</v>
      </c>
      <c r="E274" s="1" t="s">
        <v>50</v>
      </c>
      <c r="F274" s="1" t="s">
        <v>47</v>
      </c>
      <c r="G274" s="1">
        <v>2518.34</v>
      </c>
      <c r="H274" s="1" t="s">
        <v>45</v>
      </c>
      <c r="I274" s="1">
        <v>163.69</v>
      </c>
      <c r="J274" s="1">
        <f t="shared" si="1"/>
        <v>2682.16</v>
      </c>
      <c r="K274" s="1" t="b">
        <v>1</v>
      </c>
      <c r="L274" s="3">
        <v>45758.0</v>
      </c>
      <c r="M274" s="1">
        <v>2682.03</v>
      </c>
      <c r="N274" s="1" t="b">
        <f t="shared" si="2"/>
        <v>1</v>
      </c>
      <c r="O274" s="1" t="b">
        <f t="shared" si="3"/>
        <v>0</v>
      </c>
      <c r="P274" s="1" t="str">
        <f t="shared" si="4"/>
        <v>Sunline Electrical|-2682.16</v>
      </c>
      <c r="Q274" s="1" t="str">
        <f t="shared" si="5"/>
        <v>Paid but No Bank Match</v>
      </c>
    </row>
    <row r="275">
      <c r="A275" s="1" t="s">
        <v>318</v>
      </c>
      <c r="B275" s="1" t="s">
        <v>40</v>
      </c>
      <c r="C275" s="3">
        <v>45684.0</v>
      </c>
      <c r="D275" s="3">
        <v>45729.0</v>
      </c>
      <c r="E275" s="1" t="s">
        <v>19</v>
      </c>
      <c r="F275" s="1" t="s">
        <v>28</v>
      </c>
      <c r="G275" s="1">
        <v>24099.3</v>
      </c>
      <c r="H275" s="1" t="s">
        <v>25</v>
      </c>
      <c r="I275" s="1">
        <v>1445.96</v>
      </c>
      <c r="J275" s="1">
        <f t="shared" si="1"/>
        <v>25545.26</v>
      </c>
      <c r="K275" s="1" t="b">
        <v>1</v>
      </c>
      <c r="L275" s="3">
        <v>45709.0</v>
      </c>
      <c r="M275" s="1">
        <v>25545.26</v>
      </c>
      <c r="N275" s="1" t="b">
        <f t="shared" si="2"/>
        <v>0</v>
      </c>
      <c r="O275" s="1" t="b">
        <f t="shared" si="3"/>
        <v>0</v>
      </c>
      <c r="P275" s="1" t="str">
        <f t="shared" si="4"/>
        <v>Gulf Coast Telecom|-25545.26</v>
      </c>
      <c r="Q275" s="1" t="str">
        <f t="shared" si="5"/>
        <v>Paid but No Bank Match</v>
      </c>
    </row>
    <row r="276">
      <c r="A276" s="1" t="s">
        <v>319</v>
      </c>
      <c r="B276" s="1" t="s">
        <v>59</v>
      </c>
      <c r="C276" s="3">
        <v>45960.0</v>
      </c>
      <c r="D276" s="3">
        <v>46005.0</v>
      </c>
      <c r="E276" s="1" t="s">
        <v>31</v>
      </c>
      <c r="F276" s="1" t="s">
        <v>24</v>
      </c>
      <c r="G276" s="1">
        <v>16143.89</v>
      </c>
      <c r="H276" s="1" t="s">
        <v>25</v>
      </c>
      <c r="I276" s="1">
        <v>968.63</v>
      </c>
      <c r="J276" s="1">
        <f t="shared" si="1"/>
        <v>17112.52</v>
      </c>
      <c r="K276" s="1" t="b">
        <v>1</v>
      </c>
      <c r="L276" s="3">
        <v>46021.0</v>
      </c>
      <c r="M276" s="1">
        <v>17112.52</v>
      </c>
      <c r="N276" s="1" t="b">
        <f t="shared" si="2"/>
        <v>0</v>
      </c>
      <c r="O276" s="1" t="b">
        <f t="shared" si="3"/>
        <v>0</v>
      </c>
      <c r="P276" s="1" t="str">
        <f t="shared" si="4"/>
        <v>Skyline Engineering|-17112.52</v>
      </c>
      <c r="Q276" s="1" t="str">
        <f t="shared" si="5"/>
        <v>Paid but No Bank Match</v>
      </c>
    </row>
    <row r="277">
      <c r="A277" s="1" t="s">
        <v>320</v>
      </c>
      <c r="B277" s="1" t="s">
        <v>90</v>
      </c>
      <c r="C277" s="3">
        <v>45914.0</v>
      </c>
      <c r="D277" s="3">
        <v>45959.0</v>
      </c>
      <c r="E277" s="1" t="s">
        <v>50</v>
      </c>
      <c r="F277" s="1" t="s">
        <v>20</v>
      </c>
      <c r="G277" s="1">
        <v>18248.36</v>
      </c>
      <c r="H277" s="1" t="s">
        <v>21</v>
      </c>
      <c r="I277" s="1">
        <v>1277.39</v>
      </c>
      <c r="J277" s="1">
        <f t="shared" si="1"/>
        <v>19525.75</v>
      </c>
      <c r="K277" s="1" t="b">
        <v>1</v>
      </c>
      <c r="L277" s="3">
        <v>45953.0</v>
      </c>
      <c r="M277" s="1">
        <v>19525.75</v>
      </c>
      <c r="N277" s="1" t="b">
        <f t="shared" si="2"/>
        <v>0</v>
      </c>
      <c r="O277" s="1" t="b">
        <f t="shared" si="3"/>
        <v>0</v>
      </c>
      <c r="P277" s="1" t="str">
        <f t="shared" si="4"/>
        <v>Peak Materials Supply|-19525.75</v>
      </c>
      <c r="Q277" s="1" t="str">
        <f t="shared" si="5"/>
        <v>Paid but No Bank Match</v>
      </c>
    </row>
    <row r="278">
      <c r="A278" s="1" t="s">
        <v>321</v>
      </c>
      <c r="B278" s="1" t="s">
        <v>40</v>
      </c>
      <c r="C278" s="3">
        <v>45977.0</v>
      </c>
      <c r="D278" s="3">
        <v>46007.0</v>
      </c>
      <c r="E278" s="1" t="s">
        <v>31</v>
      </c>
      <c r="F278" s="1" t="s">
        <v>28</v>
      </c>
      <c r="G278" s="1">
        <v>18015.64</v>
      </c>
      <c r="H278" s="1" t="s">
        <v>45</v>
      </c>
      <c r="I278" s="1">
        <v>1171.02</v>
      </c>
      <c r="J278" s="1">
        <f t="shared" si="1"/>
        <v>19186.66</v>
      </c>
      <c r="K278" s="1" t="b">
        <v>1</v>
      </c>
      <c r="L278" s="3">
        <v>46008.0</v>
      </c>
      <c r="M278" s="1">
        <v>19186.66</v>
      </c>
      <c r="N278" s="1" t="b">
        <f t="shared" si="2"/>
        <v>0</v>
      </c>
      <c r="O278" s="1" t="b">
        <f t="shared" si="3"/>
        <v>0</v>
      </c>
      <c r="P278" s="1" t="str">
        <f t="shared" si="4"/>
        <v>Gulf Coast Telecom|-19186.66</v>
      </c>
      <c r="Q278" s="1" t="str">
        <f t="shared" si="5"/>
        <v>Paid but No Bank Match</v>
      </c>
    </row>
    <row r="279">
      <c r="A279" s="1" t="s">
        <v>322</v>
      </c>
      <c r="B279" s="1" t="s">
        <v>57</v>
      </c>
      <c r="C279" s="3">
        <v>45729.0</v>
      </c>
      <c r="D279" s="3">
        <v>45759.0</v>
      </c>
      <c r="E279" s="1" t="s">
        <v>50</v>
      </c>
      <c r="F279" s="1" t="s">
        <v>24</v>
      </c>
      <c r="G279" s="1">
        <v>5490.68</v>
      </c>
      <c r="H279" s="1" t="s">
        <v>21</v>
      </c>
      <c r="I279" s="1">
        <v>384.35</v>
      </c>
      <c r="J279" s="1">
        <f t="shared" si="1"/>
        <v>5876.49</v>
      </c>
      <c r="K279" s="1" t="b">
        <v>1</v>
      </c>
      <c r="L279" s="3">
        <v>45741.0</v>
      </c>
      <c r="M279" s="1">
        <v>5875.03</v>
      </c>
      <c r="N279" s="1" t="b">
        <f t="shared" si="2"/>
        <v>1</v>
      </c>
      <c r="O279" s="1" t="b">
        <f t="shared" si="3"/>
        <v>0</v>
      </c>
      <c r="P279" s="1" t="str">
        <f t="shared" si="4"/>
        <v>Florida Line Crew LLC|-5876.49</v>
      </c>
      <c r="Q279" s="1" t="str">
        <f t="shared" si="5"/>
        <v>Paid but No Bank Match</v>
      </c>
    </row>
    <row r="280">
      <c r="A280" s="1" t="s">
        <v>323</v>
      </c>
      <c r="B280" s="1" t="s">
        <v>90</v>
      </c>
      <c r="C280" s="3">
        <v>45736.0</v>
      </c>
      <c r="D280" s="3">
        <v>45766.0</v>
      </c>
      <c r="E280" s="1" t="s">
        <v>50</v>
      </c>
      <c r="F280" s="1" t="s">
        <v>28</v>
      </c>
      <c r="G280" s="1">
        <v>13493.68</v>
      </c>
      <c r="H280" s="1" t="s">
        <v>34</v>
      </c>
      <c r="I280" s="1">
        <v>1012.03</v>
      </c>
      <c r="J280" s="1">
        <f t="shared" si="1"/>
        <v>14505.71</v>
      </c>
      <c r="K280" s="1" t="b">
        <v>1</v>
      </c>
      <c r="L280" s="3">
        <v>45804.0</v>
      </c>
      <c r="M280" s="1">
        <v>14505.71</v>
      </c>
      <c r="N280" s="1" t="b">
        <f t="shared" si="2"/>
        <v>0</v>
      </c>
      <c r="O280" s="1" t="b">
        <f t="shared" si="3"/>
        <v>0</v>
      </c>
      <c r="P280" s="1" t="str">
        <f t="shared" si="4"/>
        <v>Peak Materials Supply|-14505.71</v>
      </c>
      <c r="Q280" s="1" t="str">
        <f t="shared" si="5"/>
        <v>Paid but No Bank Match</v>
      </c>
    </row>
    <row r="281">
      <c r="A281" s="1" t="s">
        <v>324</v>
      </c>
      <c r="B281" s="1" t="s">
        <v>36</v>
      </c>
      <c r="C281" s="3">
        <v>45838.0</v>
      </c>
      <c r="D281" s="3">
        <v>45883.0</v>
      </c>
      <c r="E281" s="1" t="s">
        <v>54</v>
      </c>
      <c r="F281" s="1" t="s">
        <v>47</v>
      </c>
      <c r="G281" s="1">
        <v>24204.03</v>
      </c>
      <c r="H281" s="1" t="s">
        <v>45</v>
      </c>
      <c r="I281" s="1">
        <v>1573.26</v>
      </c>
      <c r="J281" s="1">
        <f t="shared" si="1"/>
        <v>25777.29</v>
      </c>
      <c r="K281" s="1" t="b">
        <v>1</v>
      </c>
      <c r="L281" s="3">
        <v>45857.0</v>
      </c>
      <c r="M281" s="1">
        <v>25777.29</v>
      </c>
      <c r="N281" s="1" t="b">
        <f t="shared" si="2"/>
        <v>0</v>
      </c>
      <c r="O281" s="1" t="b">
        <f t="shared" si="3"/>
        <v>0</v>
      </c>
      <c r="P281" s="1" t="str">
        <f t="shared" si="4"/>
        <v>Tampa Grid Services|-25777.29</v>
      </c>
      <c r="Q281" s="1" t="str">
        <f t="shared" si="5"/>
        <v>Paid but No Bank Match</v>
      </c>
    </row>
    <row r="282">
      <c r="A282" s="1" t="s">
        <v>325</v>
      </c>
      <c r="B282" s="1" t="s">
        <v>18</v>
      </c>
      <c r="C282" s="3">
        <v>45810.0</v>
      </c>
      <c r="D282" s="3">
        <v>45855.0</v>
      </c>
      <c r="E282" s="1" t="s">
        <v>50</v>
      </c>
      <c r="F282" s="1" t="s">
        <v>47</v>
      </c>
      <c r="G282" s="1">
        <v>15159.02</v>
      </c>
      <c r="H282" s="1" t="s">
        <v>34</v>
      </c>
      <c r="I282" s="1">
        <v>1136.93</v>
      </c>
      <c r="J282" s="1">
        <f t="shared" si="1"/>
        <v>16295.95</v>
      </c>
      <c r="K282" s="1" t="b">
        <v>1</v>
      </c>
      <c r="L282" s="3">
        <v>45823.0</v>
      </c>
      <c r="M282" s="1">
        <v>16295.95</v>
      </c>
      <c r="N282" s="1" t="b">
        <f t="shared" si="2"/>
        <v>0</v>
      </c>
      <c r="O282" s="1" t="b">
        <f t="shared" si="3"/>
        <v>0</v>
      </c>
      <c r="P282" s="1" t="str">
        <f t="shared" si="4"/>
        <v>Tri-County Services|-16295.95</v>
      </c>
      <c r="Q282" s="1" t="str">
        <f t="shared" si="5"/>
        <v>Paid but No Bank Match</v>
      </c>
    </row>
    <row r="283">
      <c r="A283" s="1" t="s">
        <v>326</v>
      </c>
      <c r="B283" s="1" t="s">
        <v>49</v>
      </c>
      <c r="C283" s="3">
        <v>45823.0</v>
      </c>
      <c r="D283" s="3">
        <v>45868.0</v>
      </c>
      <c r="E283" s="1" t="s">
        <v>37</v>
      </c>
      <c r="F283" s="1" t="s">
        <v>20</v>
      </c>
      <c r="G283" s="1">
        <v>4440.22</v>
      </c>
      <c r="H283" s="1" t="s">
        <v>34</v>
      </c>
      <c r="I283" s="1">
        <v>333.02</v>
      </c>
      <c r="J283" s="1">
        <f t="shared" si="1"/>
        <v>4773.24</v>
      </c>
      <c r="K283" s="1" t="b">
        <v>1</v>
      </c>
      <c r="L283" s="3">
        <v>45829.0</v>
      </c>
      <c r="M283" s="1">
        <v>4773.24</v>
      </c>
      <c r="N283" s="1" t="b">
        <f t="shared" si="2"/>
        <v>0</v>
      </c>
      <c r="O283" s="1" t="b">
        <f t="shared" si="3"/>
        <v>0</v>
      </c>
      <c r="P283" s="1" t="str">
        <f t="shared" si="4"/>
        <v>Sunshine Equipment|-4773.24</v>
      </c>
      <c r="Q283" s="1" t="str">
        <f t="shared" si="5"/>
        <v>Paid but No Bank Match</v>
      </c>
    </row>
    <row r="284">
      <c r="A284" s="1" t="s">
        <v>327</v>
      </c>
      <c r="B284" s="1" t="s">
        <v>57</v>
      </c>
      <c r="C284" s="3">
        <v>46001.0</v>
      </c>
      <c r="D284" s="3">
        <v>46031.0</v>
      </c>
      <c r="E284" s="1" t="s">
        <v>37</v>
      </c>
      <c r="F284" s="1" t="s">
        <v>47</v>
      </c>
      <c r="G284" s="1">
        <v>24616.61</v>
      </c>
      <c r="H284" s="1" t="s">
        <v>25</v>
      </c>
      <c r="I284" s="1">
        <v>1477.0</v>
      </c>
      <c r="J284" s="1">
        <f t="shared" si="1"/>
        <v>26093.61</v>
      </c>
      <c r="K284" s="1" t="b">
        <v>0</v>
      </c>
      <c r="L284" s="4"/>
      <c r="M284" s="1">
        <v>26093.61</v>
      </c>
      <c r="N284" s="1" t="b">
        <f t="shared" si="2"/>
        <v>0</v>
      </c>
      <c r="O284" s="1" t="b">
        <f t="shared" si="3"/>
        <v>1</v>
      </c>
      <c r="P284" s="1" t="str">
        <f t="shared" si="4"/>
        <v>Florida Line Crew LLC|-26093.61</v>
      </c>
      <c r="Q284" s="1" t="str">
        <f t="shared" si="5"/>
        <v>Unpaid</v>
      </c>
    </row>
    <row r="285">
      <c r="A285" s="1" t="s">
        <v>328</v>
      </c>
      <c r="B285" s="1" t="s">
        <v>27</v>
      </c>
      <c r="C285" s="3">
        <v>45931.0</v>
      </c>
      <c r="D285" s="3">
        <v>45961.0</v>
      </c>
      <c r="E285" s="1" t="s">
        <v>37</v>
      </c>
      <c r="F285" s="1" t="s">
        <v>20</v>
      </c>
      <c r="G285" s="1">
        <v>10190.85</v>
      </c>
      <c r="H285" s="1" t="s">
        <v>34</v>
      </c>
      <c r="I285" s="1">
        <v>764.31</v>
      </c>
      <c r="J285" s="1">
        <f t="shared" si="1"/>
        <v>10955.16</v>
      </c>
      <c r="K285" s="1" t="b">
        <v>0</v>
      </c>
      <c r="L285" s="4"/>
      <c r="M285" s="1">
        <v>10955.16</v>
      </c>
      <c r="N285" s="1" t="b">
        <f t="shared" si="2"/>
        <v>0</v>
      </c>
      <c r="O285" s="1" t="b">
        <f t="shared" si="3"/>
        <v>1</v>
      </c>
      <c r="P285" s="1" t="str">
        <f t="shared" si="4"/>
        <v>Sunline Electrical|-10955.16</v>
      </c>
      <c r="Q285" s="1" t="str">
        <f t="shared" si="5"/>
        <v>Unpaid</v>
      </c>
    </row>
    <row r="286">
      <c r="A286" s="1" t="s">
        <v>329</v>
      </c>
      <c r="B286" s="1" t="s">
        <v>18</v>
      </c>
      <c r="C286" s="3">
        <v>45823.0</v>
      </c>
      <c r="D286" s="3">
        <v>45853.0</v>
      </c>
      <c r="E286" s="1" t="s">
        <v>31</v>
      </c>
      <c r="F286" s="1" t="s">
        <v>47</v>
      </c>
      <c r="G286" s="1">
        <v>17527.06</v>
      </c>
      <c r="H286" s="1" t="s">
        <v>25</v>
      </c>
      <c r="I286" s="1">
        <v>1051.62</v>
      </c>
      <c r="J286" s="1">
        <f t="shared" si="1"/>
        <v>18577.27</v>
      </c>
      <c r="K286" s="1" t="b">
        <v>0</v>
      </c>
      <c r="L286" s="4"/>
      <c r="M286" s="1">
        <v>18578.68</v>
      </c>
      <c r="N286" s="1" t="b">
        <f t="shared" si="2"/>
        <v>1</v>
      </c>
      <c r="O286" s="1" t="b">
        <f t="shared" si="3"/>
        <v>1</v>
      </c>
      <c r="P286" s="1" t="str">
        <f t="shared" si="4"/>
        <v>Tri-County Services|-18577.27</v>
      </c>
      <c r="Q286" s="1" t="str">
        <f t="shared" si="5"/>
        <v>Unpaid</v>
      </c>
    </row>
    <row r="287">
      <c r="A287" s="1" t="s">
        <v>330</v>
      </c>
      <c r="B287" s="1" t="s">
        <v>59</v>
      </c>
      <c r="C287" s="3">
        <v>45759.0</v>
      </c>
      <c r="D287" s="3">
        <v>45789.0</v>
      </c>
      <c r="E287" s="1" t="s">
        <v>54</v>
      </c>
      <c r="F287" s="1" t="s">
        <v>28</v>
      </c>
      <c r="G287" s="1">
        <v>18244.99</v>
      </c>
      <c r="H287" s="1" t="s">
        <v>45</v>
      </c>
      <c r="I287" s="1">
        <v>1185.92</v>
      </c>
      <c r="J287" s="1">
        <f t="shared" si="1"/>
        <v>19430.91</v>
      </c>
      <c r="K287" s="1" t="b">
        <v>1</v>
      </c>
      <c r="L287" s="3">
        <v>45804.0</v>
      </c>
      <c r="M287" s="1">
        <v>19430.91</v>
      </c>
      <c r="N287" s="1" t="b">
        <f t="shared" si="2"/>
        <v>0</v>
      </c>
      <c r="O287" s="1" t="b">
        <f t="shared" si="3"/>
        <v>0</v>
      </c>
      <c r="P287" s="1" t="str">
        <f t="shared" si="4"/>
        <v>Skyline Engineering|-19430.91</v>
      </c>
      <c r="Q287" s="1" t="str">
        <f t="shared" si="5"/>
        <v>Paid but No Bank Match</v>
      </c>
    </row>
    <row r="288">
      <c r="A288" s="1" t="s">
        <v>331</v>
      </c>
      <c r="B288" s="1" t="s">
        <v>59</v>
      </c>
      <c r="C288" s="3">
        <v>45733.0</v>
      </c>
      <c r="D288" s="3">
        <v>45778.0</v>
      </c>
      <c r="E288" s="1" t="s">
        <v>31</v>
      </c>
      <c r="F288" s="1" t="s">
        <v>32</v>
      </c>
      <c r="G288" s="1">
        <v>3991.14</v>
      </c>
      <c r="H288" s="1" t="s">
        <v>34</v>
      </c>
      <c r="I288" s="1">
        <v>299.34</v>
      </c>
      <c r="J288" s="1">
        <f t="shared" si="1"/>
        <v>4290.48</v>
      </c>
      <c r="K288" s="1" t="b">
        <v>1</v>
      </c>
      <c r="L288" s="3">
        <v>45757.0</v>
      </c>
      <c r="M288" s="1">
        <v>4290.48</v>
      </c>
      <c r="N288" s="1" t="b">
        <f t="shared" si="2"/>
        <v>0</v>
      </c>
      <c r="O288" s="1" t="b">
        <f t="shared" si="3"/>
        <v>0</v>
      </c>
      <c r="P288" s="1" t="str">
        <f t="shared" si="4"/>
        <v>Skyline Engineering|-4290.48</v>
      </c>
      <c r="Q288" s="1" t="str">
        <f t="shared" si="5"/>
        <v>Paid but No Bank Match</v>
      </c>
    </row>
    <row r="289">
      <c r="A289" s="1" t="s">
        <v>332</v>
      </c>
      <c r="B289" s="1" t="s">
        <v>49</v>
      </c>
      <c r="C289" s="3">
        <v>45818.0</v>
      </c>
      <c r="D289" s="3">
        <v>45848.0</v>
      </c>
      <c r="E289" s="1" t="s">
        <v>37</v>
      </c>
      <c r="F289" s="1" t="s">
        <v>24</v>
      </c>
      <c r="G289" s="1">
        <v>739.39</v>
      </c>
      <c r="H289" s="1" t="s">
        <v>21</v>
      </c>
      <c r="I289" s="1">
        <v>51.76</v>
      </c>
      <c r="J289" s="1">
        <f t="shared" si="1"/>
        <v>791.15</v>
      </c>
      <c r="K289" s="1" t="b">
        <v>1</v>
      </c>
      <c r="L289" s="3">
        <v>45824.0</v>
      </c>
      <c r="M289" s="1">
        <v>791.15</v>
      </c>
      <c r="N289" s="1" t="b">
        <f t="shared" si="2"/>
        <v>0</v>
      </c>
      <c r="O289" s="1" t="b">
        <f t="shared" si="3"/>
        <v>0</v>
      </c>
      <c r="P289" s="1" t="str">
        <f t="shared" si="4"/>
        <v>Sunshine Equipment|-791.15</v>
      </c>
      <c r="Q289" s="1" t="str">
        <f t="shared" si="5"/>
        <v>Paid but No Bank Match</v>
      </c>
    </row>
    <row r="290">
      <c r="A290" s="1" t="s">
        <v>333</v>
      </c>
      <c r="B290" s="1" t="s">
        <v>27</v>
      </c>
      <c r="C290" s="3">
        <v>45882.0</v>
      </c>
      <c r="D290" s="3">
        <v>45912.0</v>
      </c>
      <c r="E290" s="1" t="s">
        <v>54</v>
      </c>
      <c r="F290" s="1" t="s">
        <v>47</v>
      </c>
      <c r="G290" s="1">
        <v>9090.36</v>
      </c>
      <c r="H290" s="1" t="s">
        <v>21</v>
      </c>
      <c r="I290" s="1">
        <v>636.33</v>
      </c>
      <c r="J290" s="1">
        <f t="shared" si="1"/>
        <v>9726.69</v>
      </c>
      <c r="K290" s="1" t="b">
        <v>1</v>
      </c>
      <c r="L290" s="3">
        <v>45912.0</v>
      </c>
      <c r="M290" s="1">
        <v>9726.69</v>
      </c>
      <c r="N290" s="1" t="b">
        <f t="shared" si="2"/>
        <v>0</v>
      </c>
      <c r="O290" s="1" t="b">
        <f t="shared" si="3"/>
        <v>0</v>
      </c>
      <c r="P290" s="1" t="str">
        <f t="shared" si="4"/>
        <v>Sunline Electrical|-9726.69</v>
      </c>
      <c r="Q290" s="1" t="str">
        <f t="shared" si="5"/>
        <v>Paid but No Bank Match</v>
      </c>
    </row>
    <row r="291">
      <c r="A291" s="1" t="s">
        <v>334</v>
      </c>
      <c r="B291" s="1" t="s">
        <v>57</v>
      </c>
      <c r="C291" s="3">
        <v>45760.0</v>
      </c>
      <c r="D291" s="3">
        <v>45805.0</v>
      </c>
      <c r="E291" s="1" t="s">
        <v>37</v>
      </c>
      <c r="F291" s="1" t="s">
        <v>47</v>
      </c>
      <c r="G291" s="1">
        <v>14404.75</v>
      </c>
      <c r="H291" s="1" t="s">
        <v>25</v>
      </c>
      <c r="I291" s="1">
        <v>864.28</v>
      </c>
      <c r="J291" s="1">
        <f t="shared" si="1"/>
        <v>15269.03</v>
      </c>
      <c r="K291" s="1" t="b">
        <v>1</v>
      </c>
      <c r="L291" s="3">
        <v>45779.0</v>
      </c>
      <c r="M291" s="1">
        <v>15269.03</v>
      </c>
      <c r="N291" s="1" t="b">
        <f t="shared" si="2"/>
        <v>0</v>
      </c>
      <c r="O291" s="1" t="b">
        <f t="shared" si="3"/>
        <v>0</v>
      </c>
      <c r="P291" s="1" t="str">
        <f t="shared" si="4"/>
        <v>Florida Line Crew LLC|-15269.03</v>
      </c>
      <c r="Q291" s="1" t="str">
        <f t="shared" si="5"/>
        <v>Paid but No Bank Match</v>
      </c>
    </row>
    <row r="292">
      <c r="A292" s="1" t="s">
        <v>335</v>
      </c>
      <c r="B292" s="1" t="s">
        <v>57</v>
      </c>
      <c r="C292" s="3">
        <v>45763.0</v>
      </c>
      <c r="D292" s="3">
        <v>45793.0</v>
      </c>
      <c r="E292" s="1" t="s">
        <v>37</v>
      </c>
      <c r="F292" s="1" t="s">
        <v>24</v>
      </c>
      <c r="G292" s="1">
        <v>3061.91</v>
      </c>
      <c r="H292" s="1" t="s">
        <v>45</v>
      </c>
      <c r="I292" s="1">
        <v>199.02</v>
      </c>
      <c r="J292" s="1">
        <f t="shared" si="1"/>
        <v>3260.93</v>
      </c>
      <c r="K292" s="1" t="b">
        <v>1</v>
      </c>
      <c r="L292" s="3">
        <v>45773.0</v>
      </c>
      <c r="M292" s="1">
        <v>3260.93</v>
      </c>
      <c r="N292" s="1" t="b">
        <f t="shared" si="2"/>
        <v>0</v>
      </c>
      <c r="O292" s="1" t="b">
        <f t="shared" si="3"/>
        <v>0</v>
      </c>
      <c r="P292" s="1" t="str">
        <f t="shared" si="4"/>
        <v>Florida Line Crew LLC|-3260.93</v>
      </c>
      <c r="Q292" s="1" t="str">
        <f t="shared" si="5"/>
        <v>Paid but No Bank Match</v>
      </c>
    </row>
    <row r="293">
      <c r="A293" s="1" t="s">
        <v>336</v>
      </c>
      <c r="B293" s="1" t="s">
        <v>40</v>
      </c>
      <c r="C293" s="3">
        <v>45666.0</v>
      </c>
      <c r="D293" s="3">
        <v>45711.0</v>
      </c>
      <c r="E293" s="1" t="s">
        <v>37</v>
      </c>
      <c r="F293" s="1" t="s">
        <v>51</v>
      </c>
      <c r="G293" s="1">
        <v>1773.3</v>
      </c>
      <c r="H293" s="1" t="s">
        <v>21</v>
      </c>
      <c r="I293" s="1">
        <v>124.13</v>
      </c>
      <c r="J293" s="1">
        <f t="shared" si="1"/>
        <v>1897.59</v>
      </c>
      <c r="K293" s="1" t="b">
        <v>1</v>
      </c>
      <c r="L293" s="3">
        <v>45678.0</v>
      </c>
      <c r="M293" s="1">
        <v>1897.43</v>
      </c>
      <c r="N293" s="1" t="b">
        <f t="shared" si="2"/>
        <v>1</v>
      </c>
      <c r="O293" s="1" t="b">
        <f t="shared" si="3"/>
        <v>0</v>
      </c>
      <c r="P293" s="1" t="str">
        <f t="shared" si="4"/>
        <v>Gulf Coast Telecom|-1897.59</v>
      </c>
      <c r="Q293" s="1" t="str">
        <f t="shared" si="5"/>
        <v>Paid but No Bank Match</v>
      </c>
    </row>
    <row r="294">
      <c r="A294" s="1" t="s">
        <v>337</v>
      </c>
      <c r="B294" s="1" t="s">
        <v>57</v>
      </c>
      <c r="C294" s="3">
        <v>45985.0</v>
      </c>
      <c r="D294" s="3">
        <v>46015.0</v>
      </c>
      <c r="E294" s="1" t="s">
        <v>31</v>
      </c>
      <c r="F294" s="1" t="s">
        <v>28</v>
      </c>
      <c r="G294" s="1">
        <v>20142.34</v>
      </c>
      <c r="H294" s="1" t="s">
        <v>45</v>
      </c>
      <c r="I294" s="1">
        <v>1309.25</v>
      </c>
      <c r="J294" s="1">
        <f t="shared" si="1"/>
        <v>21451.59</v>
      </c>
      <c r="K294" s="1" t="b">
        <v>1</v>
      </c>
      <c r="L294" s="3">
        <v>45996.0</v>
      </c>
      <c r="M294" s="1">
        <v>21451.59</v>
      </c>
      <c r="N294" s="1" t="b">
        <f t="shared" si="2"/>
        <v>0</v>
      </c>
      <c r="O294" s="1" t="b">
        <f t="shared" si="3"/>
        <v>0</v>
      </c>
      <c r="P294" s="1" t="str">
        <f t="shared" si="4"/>
        <v>Florida Line Crew LLC|-21451.59</v>
      </c>
      <c r="Q294" s="1" t="str">
        <f t="shared" si="5"/>
        <v>Paid but No Bank Match</v>
      </c>
    </row>
    <row r="295">
      <c r="A295" s="1" t="s">
        <v>338</v>
      </c>
      <c r="B295" s="1" t="s">
        <v>90</v>
      </c>
      <c r="C295" s="3">
        <v>45741.0</v>
      </c>
      <c r="D295" s="3">
        <v>45786.0</v>
      </c>
      <c r="E295" s="1" t="s">
        <v>50</v>
      </c>
      <c r="F295" s="1" t="s">
        <v>24</v>
      </c>
      <c r="G295" s="1">
        <v>15138.16</v>
      </c>
      <c r="H295" s="1" t="s">
        <v>45</v>
      </c>
      <c r="I295" s="1">
        <v>983.98</v>
      </c>
      <c r="J295" s="1">
        <f t="shared" si="1"/>
        <v>16123.46</v>
      </c>
      <c r="K295" s="1" t="b">
        <v>1</v>
      </c>
      <c r="L295" s="3">
        <v>45748.0</v>
      </c>
      <c r="M295" s="1">
        <v>16122.14</v>
      </c>
      <c r="N295" s="1" t="b">
        <f t="shared" si="2"/>
        <v>1</v>
      </c>
      <c r="O295" s="1" t="b">
        <f t="shared" si="3"/>
        <v>0</v>
      </c>
      <c r="P295" s="1" t="str">
        <f t="shared" si="4"/>
        <v>Peak Materials Supply|-16123.46</v>
      </c>
      <c r="Q295" s="1" t="str">
        <f t="shared" si="5"/>
        <v>Paid but No Bank Match</v>
      </c>
    </row>
    <row r="296">
      <c r="A296" s="1" t="s">
        <v>339</v>
      </c>
      <c r="B296" s="1" t="s">
        <v>30</v>
      </c>
      <c r="C296" s="3">
        <v>45784.0</v>
      </c>
      <c r="D296" s="3">
        <v>45829.0</v>
      </c>
      <c r="E296" s="1" t="s">
        <v>37</v>
      </c>
      <c r="F296" s="1" t="s">
        <v>28</v>
      </c>
      <c r="G296" s="1">
        <v>18423.94</v>
      </c>
      <c r="H296" s="1" t="s">
        <v>34</v>
      </c>
      <c r="I296" s="1">
        <v>1381.8</v>
      </c>
      <c r="J296" s="1">
        <f t="shared" si="1"/>
        <v>19804.24</v>
      </c>
      <c r="K296" s="1" t="b">
        <v>1</v>
      </c>
      <c r="L296" s="3">
        <v>45800.0</v>
      </c>
      <c r="M296" s="1">
        <v>19805.74</v>
      </c>
      <c r="N296" s="1" t="b">
        <f t="shared" si="2"/>
        <v>1</v>
      </c>
      <c r="O296" s="1" t="b">
        <f t="shared" si="3"/>
        <v>0</v>
      </c>
      <c r="P296" s="1" t="str">
        <f t="shared" si="4"/>
        <v>Tidal Contractors|-19804.24</v>
      </c>
      <c r="Q296" s="1" t="str">
        <f t="shared" si="5"/>
        <v>Paid but No Bank Match</v>
      </c>
    </row>
    <row r="297">
      <c r="A297" s="1" t="s">
        <v>340</v>
      </c>
      <c r="B297" s="1" t="s">
        <v>18</v>
      </c>
      <c r="C297" s="3">
        <v>45744.0</v>
      </c>
      <c r="D297" s="3">
        <v>45789.0</v>
      </c>
      <c r="E297" s="1" t="s">
        <v>31</v>
      </c>
      <c r="F297" s="1" t="s">
        <v>20</v>
      </c>
      <c r="G297" s="1">
        <v>12242.33</v>
      </c>
      <c r="H297" s="1" t="s">
        <v>34</v>
      </c>
      <c r="I297" s="1">
        <v>918.17</v>
      </c>
      <c r="J297" s="1">
        <f t="shared" si="1"/>
        <v>13159.37</v>
      </c>
      <c r="K297" s="1" t="b">
        <v>1</v>
      </c>
      <c r="L297" s="3">
        <v>45767.0</v>
      </c>
      <c r="M297" s="1">
        <v>13160.5</v>
      </c>
      <c r="N297" s="1" t="b">
        <f t="shared" si="2"/>
        <v>1</v>
      </c>
      <c r="O297" s="1" t="b">
        <f t="shared" si="3"/>
        <v>0</v>
      </c>
      <c r="P297" s="1" t="str">
        <f t="shared" si="4"/>
        <v>Tri-County Services|-13159.37</v>
      </c>
      <c r="Q297" s="1" t="str">
        <f t="shared" si="5"/>
        <v>Paid but No Bank Match</v>
      </c>
    </row>
    <row r="298">
      <c r="A298" s="1" t="s">
        <v>341</v>
      </c>
      <c r="B298" s="1" t="s">
        <v>57</v>
      </c>
      <c r="C298" s="3">
        <v>45712.0</v>
      </c>
      <c r="D298" s="3">
        <v>45757.0</v>
      </c>
      <c r="E298" s="1" t="s">
        <v>50</v>
      </c>
      <c r="F298" s="1" t="s">
        <v>28</v>
      </c>
      <c r="G298" s="1">
        <v>18734.84</v>
      </c>
      <c r="H298" s="1" t="s">
        <v>45</v>
      </c>
      <c r="I298" s="1">
        <v>1217.76</v>
      </c>
      <c r="J298" s="1">
        <f t="shared" si="1"/>
        <v>19954</v>
      </c>
      <c r="K298" s="1" t="b">
        <v>0</v>
      </c>
      <c r="L298" s="4"/>
      <c r="M298" s="1">
        <v>19952.6</v>
      </c>
      <c r="N298" s="1" t="b">
        <f t="shared" si="2"/>
        <v>1</v>
      </c>
      <c r="O298" s="1" t="b">
        <f t="shared" si="3"/>
        <v>1</v>
      </c>
      <c r="P298" s="1" t="str">
        <f t="shared" si="4"/>
        <v>Florida Line Crew LLC|-19954</v>
      </c>
      <c r="Q298" s="1" t="str">
        <f t="shared" si="5"/>
        <v>Unpaid</v>
      </c>
    </row>
    <row r="299">
      <c r="A299" s="1" t="s">
        <v>342</v>
      </c>
      <c r="B299" s="1" t="s">
        <v>49</v>
      </c>
      <c r="C299" s="3">
        <v>45966.0</v>
      </c>
      <c r="D299" s="3">
        <v>45996.0</v>
      </c>
      <c r="E299" s="1" t="s">
        <v>50</v>
      </c>
      <c r="F299" s="1" t="s">
        <v>28</v>
      </c>
      <c r="G299" s="1">
        <v>12705.8</v>
      </c>
      <c r="H299" s="1" t="s">
        <v>21</v>
      </c>
      <c r="I299" s="1">
        <v>889.41</v>
      </c>
      <c r="J299" s="1">
        <f t="shared" si="1"/>
        <v>13595.21</v>
      </c>
      <c r="K299" s="1" t="b">
        <v>1</v>
      </c>
      <c r="L299" s="3">
        <v>45988.0</v>
      </c>
      <c r="M299" s="1">
        <v>13595.21</v>
      </c>
      <c r="N299" s="1" t="b">
        <f t="shared" si="2"/>
        <v>0</v>
      </c>
      <c r="O299" s="1" t="b">
        <f t="shared" si="3"/>
        <v>0</v>
      </c>
      <c r="P299" s="1" t="str">
        <f t="shared" si="4"/>
        <v>Sunshine Equipment|-13595.21</v>
      </c>
      <c r="Q299" s="1" t="str">
        <f t="shared" si="5"/>
        <v>Paid but No Bank Match</v>
      </c>
    </row>
    <row r="300">
      <c r="A300" s="1" t="s">
        <v>343</v>
      </c>
      <c r="B300" s="1" t="s">
        <v>40</v>
      </c>
      <c r="C300" s="3">
        <v>45868.0</v>
      </c>
      <c r="D300" s="3">
        <v>45913.0</v>
      </c>
      <c r="E300" s="1" t="s">
        <v>19</v>
      </c>
      <c r="F300" s="1" t="s">
        <v>24</v>
      </c>
      <c r="G300" s="1">
        <v>24910.18</v>
      </c>
      <c r="H300" s="1" t="s">
        <v>45</v>
      </c>
      <c r="I300" s="1">
        <v>1619.16</v>
      </c>
      <c r="J300" s="1">
        <f t="shared" si="1"/>
        <v>26529.34</v>
      </c>
      <c r="K300" s="1" t="b">
        <v>0</v>
      </c>
      <c r="L300" s="4"/>
      <c r="M300" s="1">
        <v>26529.34</v>
      </c>
      <c r="N300" s="1" t="b">
        <f t="shared" si="2"/>
        <v>0</v>
      </c>
      <c r="O300" s="1" t="b">
        <f t="shared" si="3"/>
        <v>1</v>
      </c>
      <c r="P300" s="1" t="str">
        <f t="shared" si="4"/>
        <v>Gulf Coast Telecom|-26529.34</v>
      </c>
      <c r="Q300" s="1" t="str">
        <f t="shared" si="5"/>
        <v>Unpaid</v>
      </c>
    </row>
    <row r="301">
      <c r="A301" s="1" t="s">
        <v>344</v>
      </c>
      <c r="B301" s="1" t="s">
        <v>59</v>
      </c>
      <c r="C301" s="3">
        <v>45788.0</v>
      </c>
      <c r="D301" s="3">
        <v>45818.0</v>
      </c>
      <c r="E301" s="1" t="s">
        <v>31</v>
      </c>
      <c r="F301" s="1" t="s">
        <v>47</v>
      </c>
      <c r="G301" s="1">
        <v>10379.9</v>
      </c>
      <c r="H301" s="1" t="s">
        <v>21</v>
      </c>
      <c r="I301" s="1">
        <v>726.59</v>
      </c>
      <c r="J301" s="1">
        <f t="shared" si="1"/>
        <v>11106.49</v>
      </c>
      <c r="K301" s="1" t="b">
        <v>1</v>
      </c>
      <c r="L301" s="3">
        <v>45846.0</v>
      </c>
      <c r="M301" s="1">
        <v>11106.49</v>
      </c>
      <c r="N301" s="1" t="b">
        <f t="shared" si="2"/>
        <v>0</v>
      </c>
      <c r="O301" s="1" t="b">
        <f t="shared" si="3"/>
        <v>0</v>
      </c>
      <c r="P301" s="1" t="str">
        <f t="shared" si="4"/>
        <v>Skyline Engineering|-11106.49</v>
      </c>
      <c r="Q301" s="1" t="str">
        <f t="shared" si="5"/>
        <v>Paid but No Bank Match</v>
      </c>
    </row>
    <row r="302">
      <c r="A302" s="1" t="s">
        <v>345</v>
      </c>
      <c r="B302" s="1" t="s">
        <v>36</v>
      </c>
      <c r="C302" s="3">
        <v>45864.0</v>
      </c>
      <c r="D302" s="3">
        <v>45894.0</v>
      </c>
      <c r="E302" s="1" t="s">
        <v>31</v>
      </c>
      <c r="F302" s="1" t="s">
        <v>28</v>
      </c>
      <c r="G302" s="1">
        <v>11834.26</v>
      </c>
      <c r="H302" s="1" t="s">
        <v>25</v>
      </c>
      <c r="I302" s="1">
        <v>710.06</v>
      </c>
      <c r="J302" s="1">
        <f t="shared" si="1"/>
        <v>12544.32</v>
      </c>
      <c r="K302" s="1" t="b">
        <v>0</v>
      </c>
      <c r="L302" s="4"/>
      <c r="M302" s="1">
        <v>12544.32</v>
      </c>
      <c r="N302" s="1" t="b">
        <f t="shared" si="2"/>
        <v>0</v>
      </c>
      <c r="O302" s="1" t="b">
        <f t="shared" si="3"/>
        <v>1</v>
      </c>
      <c r="P302" s="1" t="str">
        <f t="shared" si="4"/>
        <v>Tampa Grid Services|-12544.32</v>
      </c>
      <c r="Q302" s="1" t="str">
        <f t="shared" si="5"/>
        <v>Unpaid</v>
      </c>
    </row>
    <row r="303">
      <c r="A303" s="1" t="s">
        <v>346</v>
      </c>
      <c r="B303" s="1" t="s">
        <v>27</v>
      </c>
      <c r="C303" s="3">
        <v>45816.0</v>
      </c>
      <c r="D303" s="3">
        <v>45861.0</v>
      </c>
      <c r="E303" s="1" t="s">
        <v>37</v>
      </c>
      <c r="F303" s="1" t="s">
        <v>28</v>
      </c>
      <c r="G303" s="1">
        <v>21233.01</v>
      </c>
      <c r="H303" s="1" t="s">
        <v>25</v>
      </c>
      <c r="I303" s="1">
        <v>1273.98</v>
      </c>
      <c r="J303" s="1">
        <f t="shared" si="1"/>
        <v>22506.99</v>
      </c>
      <c r="K303" s="1" t="b">
        <v>1</v>
      </c>
      <c r="L303" s="3">
        <v>45840.0</v>
      </c>
      <c r="M303" s="1">
        <v>22506.99</v>
      </c>
      <c r="N303" s="1" t="b">
        <f t="shared" si="2"/>
        <v>0</v>
      </c>
      <c r="O303" s="1" t="b">
        <f t="shared" si="3"/>
        <v>0</v>
      </c>
      <c r="P303" s="1" t="str">
        <f t="shared" si="4"/>
        <v>Sunline Electrical|-22506.99</v>
      </c>
      <c r="Q303" s="1" t="str">
        <f t="shared" si="5"/>
        <v>Paid but No Bank Match</v>
      </c>
    </row>
    <row r="304">
      <c r="A304" s="1" t="s">
        <v>347</v>
      </c>
      <c r="B304" s="1" t="s">
        <v>59</v>
      </c>
      <c r="C304" s="3">
        <v>45809.0</v>
      </c>
      <c r="D304" s="3">
        <v>45854.0</v>
      </c>
      <c r="E304" s="1" t="s">
        <v>54</v>
      </c>
      <c r="F304" s="1" t="s">
        <v>28</v>
      </c>
      <c r="G304" s="1">
        <v>13092.9</v>
      </c>
      <c r="H304" s="1" t="s">
        <v>21</v>
      </c>
      <c r="I304" s="1">
        <v>916.5</v>
      </c>
      <c r="J304" s="1">
        <f t="shared" si="1"/>
        <v>14009.4</v>
      </c>
      <c r="K304" s="1" t="b">
        <v>1</v>
      </c>
      <c r="L304" s="3">
        <v>45847.0</v>
      </c>
      <c r="M304" s="1">
        <v>14009.4</v>
      </c>
      <c r="N304" s="1" t="b">
        <f t="shared" si="2"/>
        <v>0</v>
      </c>
      <c r="O304" s="1" t="b">
        <f t="shared" si="3"/>
        <v>0</v>
      </c>
      <c r="P304" s="1" t="str">
        <f t="shared" si="4"/>
        <v>Skyline Engineering|-14009.4</v>
      </c>
      <c r="Q304" s="1" t="str">
        <f t="shared" si="5"/>
        <v>Paid but No Bank Match</v>
      </c>
    </row>
    <row r="305">
      <c r="A305" s="1" t="s">
        <v>348</v>
      </c>
      <c r="B305" s="1" t="s">
        <v>90</v>
      </c>
      <c r="C305" s="3">
        <v>45919.0</v>
      </c>
      <c r="D305" s="3">
        <v>45964.0</v>
      </c>
      <c r="E305" s="1" t="s">
        <v>50</v>
      </c>
      <c r="F305" s="1" t="s">
        <v>20</v>
      </c>
      <c r="G305" s="1">
        <v>24807.27</v>
      </c>
      <c r="H305" s="1" t="s">
        <v>25</v>
      </c>
      <c r="I305" s="1">
        <v>1488.44</v>
      </c>
      <c r="J305" s="1">
        <f t="shared" si="1"/>
        <v>26295.71</v>
      </c>
      <c r="K305" s="1" t="b">
        <v>1</v>
      </c>
      <c r="L305" s="3">
        <v>45935.0</v>
      </c>
      <c r="M305" s="1">
        <v>26295.71</v>
      </c>
      <c r="N305" s="1" t="b">
        <f t="shared" si="2"/>
        <v>0</v>
      </c>
      <c r="O305" s="1" t="b">
        <f t="shared" si="3"/>
        <v>0</v>
      </c>
      <c r="P305" s="1" t="str">
        <f t="shared" si="4"/>
        <v>Peak Materials Supply|-26295.71</v>
      </c>
      <c r="Q305" s="1" t="str">
        <f t="shared" si="5"/>
        <v>Paid but No Bank Match</v>
      </c>
    </row>
    <row r="306">
      <c r="A306" s="1" t="s">
        <v>349</v>
      </c>
      <c r="B306" s="1" t="s">
        <v>49</v>
      </c>
      <c r="C306" s="3">
        <v>45788.0</v>
      </c>
      <c r="D306" s="3">
        <v>45833.0</v>
      </c>
      <c r="E306" s="1" t="s">
        <v>54</v>
      </c>
      <c r="F306" s="1" t="s">
        <v>47</v>
      </c>
      <c r="G306" s="1">
        <v>15973.23</v>
      </c>
      <c r="H306" s="1" t="s">
        <v>21</v>
      </c>
      <c r="I306" s="1">
        <v>1118.13</v>
      </c>
      <c r="J306" s="1">
        <f t="shared" si="1"/>
        <v>17091.36</v>
      </c>
      <c r="K306" s="1" t="b">
        <v>1</v>
      </c>
      <c r="L306" s="3">
        <v>45818.0</v>
      </c>
      <c r="M306" s="1">
        <v>17091.36</v>
      </c>
      <c r="N306" s="1" t="b">
        <f t="shared" si="2"/>
        <v>0</v>
      </c>
      <c r="O306" s="1" t="b">
        <f t="shared" si="3"/>
        <v>0</v>
      </c>
      <c r="P306" s="1" t="str">
        <f t="shared" si="4"/>
        <v>Sunshine Equipment|-17091.36</v>
      </c>
      <c r="Q306" s="1" t="str">
        <f t="shared" si="5"/>
        <v>Paid but No Bank Match</v>
      </c>
    </row>
    <row r="307">
      <c r="A307" s="1" t="s">
        <v>350</v>
      </c>
      <c r="B307" s="1" t="s">
        <v>23</v>
      </c>
      <c r="C307" s="3">
        <v>45665.0</v>
      </c>
      <c r="D307" s="3">
        <v>45695.0</v>
      </c>
      <c r="E307" s="1" t="s">
        <v>37</v>
      </c>
      <c r="F307" s="1" t="s">
        <v>24</v>
      </c>
      <c r="G307" s="1">
        <v>15245.46</v>
      </c>
      <c r="H307" s="1" t="s">
        <v>25</v>
      </c>
      <c r="I307" s="1">
        <v>914.73</v>
      </c>
      <c r="J307" s="1">
        <f t="shared" si="1"/>
        <v>16160.19</v>
      </c>
      <c r="K307" s="1" t="b">
        <v>1</v>
      </c>
      <c r="L307" s="3">
        <v>45683.0</v>
      </c>
      <c r="M307" s="1">
        <v>16160.19</v>
      </c>
      <c r="N307" s="1" t="b">
        <f t="shared" si="2"/>
        <v>0</v>
      </c>
      <c r="O307" s="1" t="b">
        <f t="shared" si="3"/>
        <v>0</v>
      </c>
      <c r="P307" s="1" t="str">
        <f t="shared" si="4"/>
        <v>Atlantic Fiber Co|-16160.19</v>
      </c>
      <c r="Q307" s="1" t="str">
        <f t="shared" si="5"/>
        <v>Paid but No Bank Match</v>
      </c>
    </row>
    <row r="308">
      <c r="A308" s="1" t="s">
        <v>351</v>
      </c>
      <c r="B308" s="1" t="s">
        <v>57</v>
      </c>
      <c r="C308" s="3">
        <v>45991.0</v>
      </c>
      <c r="D308" s="3">
        <v>46021.0</v>
      </c>
      <c r="E308" s="1" t="s">
        <v>31</v>
      </c>
      <c r="F308" s="1" t="s">
        <v>24</v>
      </c>
      <c r="G308" s="1">
        <v>10619.26</v>
      </c>
      <c r="H308" s="1" t="s">
        <v>45</v>
      </c>
      <c r="I308" s="1">
        <v>690.25</v>
      </c>
      <c r="J308" s="1">
        <f t="shared" si="1"/>
        <v>11308.53</v>
      </c>
      <c r="K308" s="1" t="b">
        <v>0</v>
      </c>
      <c r="L308" s="4"/>
      <c r="M308" s="1">
        <v>11309.51</v>
      </c>
      <c r="N308" s="1" t="b">
        <f t="shared" si="2"/>
        <v>1</v>
      </c>
      <c r="O308" s="1" t="b">
        <f t="shared" si="3"/>
        <v>1</v>
      </c>
      <c r="P308" s="1" t="str">
        <f t="shared" si="4"/>
        <v>Florida Line Crew LLC|-11308.53</v>
      </c>
      <c r="Q308" s="1" t="str">
        <f t="shared" si="5"/>
        <v>Unpaid</v>
      </c>
    </row>
    <row r="309">
      <c r="A309" s="1" t="s">
        <v>352</v>
      </c>
      <c r="B309" s="1" t="s">
        <v>40</v>
      </c>
      <c r="C309" s="3">
        <v>45975.0</v>
      </c>
      <c r="D309" s="3">
        <v>46005.0</v>
      </c>
      <c r="E309" s="1" t="s">
        <v>37</v>
      </c>
      <c r="F309" s="1" t="s">
        <v>47</v>
      </c>
      <c r="G309" s="1">
        <v>10423.01</v>
      </c>
      <c r="H309" s="1" t="s">
        <v>21</v>
      </c>
      <c r="I309" s="1">
        <v>729.61</v>
      </c>
      <c r="J309" s="1">
        <f t="shared" si="1"/>
        <v>11152.62</v>
      </c>
      <c r="K309" s="1" t="b">
        <v>1</v>
      </c>
      <c r="L309" s="3">
        <v>45981.0</v>
      </c>
      <c r="M309" s="1">
        <v>11152.62</v>
      </c>
      <c r="N309" s="1" t="b">
        <f t="shared" si="2"/>
        <v>0</v>
      </c>
      <c r="O309" s="1" t="b">
        <f t="shared" si="3"/>
        <v>0</v>
      </c>
      <c r="P309" s="1" t="str">
        <f t="shared" si="4"/>
        <v>Gulf Coast Telecom|-11152.62</v>
      </c>
      <c r="Q309" s="1" t="str">
        <f t="shared" si="5"/>
        <v>Paid but No Bank Match</v>
      </c>
    </row>
    <row r="310">
      <c r="A310" s="1" t="s">
        <v>353</v>
      </c>
      <c r="B310" s="1" t="s">
        <v>62</v>
      </c>
      <c r="C310" s="3">
        <v>45888.0</v>
      </c>
      <c r="D310" s="3">
        <v>45918.0</v>
      </c>
      <c r="E310" s="1" t="s">
        <v>50</v>
      </c>
      <c r="F310" s="1" t="s">
        <v>47</v>
      </c>
      <c r="G310" s="1">
        <v>10081.5</v>
      </c>
      <c r="H310" s="1" t="s">
        <v>45</v>
      </c>
      <c r="I310" s="1">
        <v>655.3</v>
      </c>
      <c r="J310" s="1">
        <f t="shared" si="1"/>
        <v>10736.8</v>
      </c>
      <c r="K310" s="1" t="b">
        <v>0</v>
      </c>
      <c r="L310" s="4"/>
      <c r="M310" s="1">
        <v>10736.8</v>
      </c>
      <c r="N310" s="1" t="b">
        <f t="shared" si="2"/>
        <v>0</v>
      </c>
      <c r="O310" s="1" t="b">
        <f t="shared" si="3"/>
        <v>1</v>
      </c>
      <c r="P310" s="1" t="str">
        <f t="shared" si="4"/>
        <v>Bay Area Rentals|-10736.8</v>
      </c>
      <c r="Q310" s="1" t="str">
        <f t="shared" si="5"/>
        <v>Unpaid</v>
      </c>
    </row>
    <row r="311">
      <c r="A311" s="1" t="s">
        <v>354</v>
      </c>
      <c r="B311" s="1" t="s">
        <v>27</v>
      </c>
      <c r="C311" s="3">
        <v>45723.0</v>
      </c>
      <c r="D311" s="3">
        <v>45768.0</v>
      </c>
      <c r="E311" s="1" t="s">
        <v>19</v>
      </c>
      <c r="F311" s="1" t="s">
        <v>47</v>
      </c>
      <c r="G311" s="1">
        <v>721.24</v>
      </c>
      <c r="H311" s="1" t="s">
        <v>45</v>
      </c>
      <c r="I311" s="1">
        <v>46.88</v>
      </c>
      <c r="J311" s="1">
        <f t="shared" si="1"/>
        <v>768.12</v>
      </c>
      <c r="K311" s="1" t="b">
        <v>1</v>
      </c>
      <c r="L311" s="3">
        <v>45783.0</v>
      </c>
      <c r="M311" s="1">
        <v>768.12</v>
      </c>
      <c r="N311" s="1" t="b">
        <f t="shared" si="2"/>
        <v>0</v>
      </c>
      <c r="O311" s="1" t="b">
        <f t="shared" si="3"/>
        <v>0</v>
      </c>
      <c r="P311" s="1" t="str">
        <f t="shared" si="4"/>
        <v>Sunline Electrical|-768.12</v>
      </c>
      <c r="Q311" s="1" t="str">
        <f t="shared" si="5"/>
        <v>Paid but No Bank Match</v>
      </c>
    </row>
    <row r="312">
      <c r="A312" s="1" t="s">
        <v>355</v>
      </c>
      <c r="B312" s="1" t="s">
        <v>23</v>
      </c>
      <c r="C312" s="3">
        <v>45821.0</v>
      </c>
      <c r="D312" s="3">
        <v>45866.0</v>
      </c>
      <c r="E312" s="1" t="s">
        <v>19</v>
      </c>
      <c r="F312" s="1" t="s">
        <v>51</v>
      </c>
      <c r="G312" s="1">
        <v>11617.84</v>
      </c>
      <c r="H312" s="1" t="s">
        <v>21</v>
      </c>
      <c r="I312" s="1">
        <v>813.25</v>
      </c>
      <c r="J312" s="1">
        <f t="shared" si="1"/>
        <v>12431.09</v>
      </c>
      <c r="K312" s="1" t="b">
        <v>1</v>
      </c>
      <c r="L312" s="3">
        <v>45839.0</v>
      </c>
      <c r="M312" s="1">
        <v>12431.09</v>
      </c>
      <c r="N312" s="1" t="b">
        <f t="shared" si="2"/>
        <v>0</v>
      </c>
      <c r="O312" s="1" t="b">
        <f t="shared" si="3"/>
        <v>0</v>
      </c>
      <c r="P312" s="1" t="str">
        <f t="shared" si="4"/>
        <v>Atlantic Fiber Co|-12431.09</v>
      </c>
      <c r="Q312" s="1" t="str">
        <f t="shared" si="5"/>
        <v>Paid but No Bank Match</v>
      </c>
    </row>
    <row r="313">
      <c r="A313" s="1" t="s">
        <v>356</v>
      </c>
      <c r="B313" s="1" t="s">
        <v>27</v>
      </c>
      <c r="C313" s="3">
        <v>45737.0</v>
      </c>
      <c r="D313" s="3">
        <v>45782.0</v>
      </c>
      <c r="E313" s="1" t="s">
        <v>19</v>
      </c>
      <c r="F313" s="1" t="s">
        <v>20</v>
      </c>
      <c r="G313" s="1">
        <v>8756.58</v>
      </c>
      <c r="H313" s="1" t="s">
        <v>21</v>
      </c>
      <c r="I313" s="1">
        <v>612.96</v>
      </c>
      <c r="J313" s="1">
        <f t="shared" si="1"/>
        <v>9369.54</v>
      </c>
      <c r="K313" s="1" t="b">
        <v>1</v>
      </c>
      <c r="L313" s="3">
        <v>45742.0</v>
      </c>
      <c r="M313" s="1">
        <v>9369.54</v>
      </c>
      <c r="N313" s="1" t="b">
        <f t="shared" si="2"/>
        <v>0</v>
      </c>
      <c r="O313" s="1" t="b">
        <f t="shared" si="3"/>
        <v>0</v>
      </c>
      <c r="P313" s="1" t="str">
        <f t="shared" si="4"/>
        <v>Sunline Electrical|-9369.54</v>
      </c>
      <c r="Q313" s="1" t="str">
        <f t="shared" si="5"/>
        <v>Paid but No Bank Match</v>
      </c>
    </row>
    <row r="314">
      <c r="A314" s="1" t="s">
        <v>357</v>
      </c>
      <c r="B314" s="1" t="s">
        <v>36</v>
      </c>
      <c r="C314" s="3">
        <v>45790.0</v>
      </c>
      <c r="D314" s="3">
        <v>45820.0</v>
      </c>
      <c r="E314" s="1" t="s">
        <v>37</v>
      </c>
      <c r="F314" s="1" t="s">
        <v>47</v>
      </c>
      <c r="G314" s="1">
        <v>15620.05</v>
      </c>
      <c r="H314" s="1" t="s">
        <v>21</v>
      </c>
      <c r="I314" s="1">
        <v>1093.4</v>
      </c>
      <c r="J314" s="1">
        <f t="shared" si="1"/>
        <v>16712.85</v>
      </c>
      <c r="K314" s="1" t="b">
        <v>1</v>
      </c>
      <c r="L314" s="3">
        <v>45858.0</v>
      </c>
      <c r="M314" s="1">
        <v>16713.45</v>
      </c>
      <c r="N314" s="1" t="b">
        <f t="shared" si="2"/>
        <v>1</v>
      </c>
      <c r="O314" s="1" t="b">
        <f t="shared" si="3"/>
        <v>0</v>
      </c>
      <c r="P314" s="1" t="str">
        <f t="shared" si="4"/>
        <v>Tampa Grid Services|-16712.85</v>
      </c>
      <c r="Q314" s="1" t="str">
        <f t="shared" si="5"/>
        <v>Paid but No Bank Match</v>
      </c>
    </row>
    <row r="315">
      <c r="A315" s="1" t="s">
        <v>358</v>
      </c>
      <c r="B315" s="1" t="s">
        <v>42</v>
      </c>
      <c r="C315" s="3">
        <v>45941.0</v>
      </c>
      <c r="D315" s="3">
        <v>45986.0</v>
      </c>
      <c r="E315" s="1" t="s">
        <v>54</v>
      </c>
      <c r="F315" s="1" t="s">
        <v>24</v>
      </c>
      <c r="G315" s="1">
        <v>18541.85</v>
      </c>
      <c r="H315" s="1" t="s">
        <v>34</v>
      </c>
      <c r="I315" s="1">
        <v>1390.64</v>
      </c>
      <c r="J315" s="1">
        <f t="shared" si="1"/>
        <v>19932.73</v>
      </c>
      <c r="K315" s="1" t="b">
        <v>1</v>
      </c>
      <c r="L315" s="3">
        <v>45982.0</v>
      </c>
      <c r="M315" s="1">
        <v>19932.49</v>
      </c>
      <c r="N315" s="1" t="b">
        <f t="shared" si="2"/>
        <v>1</v>
      </c>
      <c r="O315" s="1" t="b">
        <f t="shared" si="3"/>
        <v>0</v>
      </c>
      <c r="P315" s="1" t="str">
        <f t="shared" si="4"/>
        <v>BrightPower Partners|-19932.73</v>
      </c>
      <c r="Q315" s="1" t="str">
        <f t="shared" si="5"/>
        <v>Paid but No Bank Match</v>
      </c>
    </row>
    <row r="316">
      <c r="A316" s="1" t="s">
        <v>359</v>
      </c>
      <c r="B316" s="1" t="s">
        <v>27</v>
      </c>
      <c r="C316" s="3">
        <v>45962.0</v>
      </c>
      <c r="D316" s="3">
        <v>46007.0</v>
      </c>
      <c r="E316" s="1" t="s">
        <v>50</v>
      </c>
      <c r="F316" s="1" t="s">
        <v>28</v>
      </c>
      <c r="G316" s="1">
        <v>20238.92</v>
      </c>
      <c r="H316" s="1" t="s">
        <v>25</v>
      </c>
      <c r="I316" s="1">
        <v>1214.34</v>
      </c>
      <c r="J316" s="1">
        <f t="shared" si="1"/>
        <v>21453.26</v>
      </c>
      <c r="K316" s="1" t="b">
        <v>1</v>
      </c>
      <c r="L316" s="3">
        <v>45972.0</v>
      </c>
      <c r="M316" s="1">
        <v>21453.26</v>
      </c>
      <c r="N316" s="1" t="b">
        <f t="shared" si="2"/>
        <v>0</v>
      </c>
      <c r="O316" s="1" t="b">
        <f t="shared" si="3"/>
        <v>0</v>
      </c>
      <c r="P316" s="1" t="str">
        <f t="shared" si="4"/>
        <v>Sunline Electrical|-21453.26</v>
      </c>
      <c r="Q316" s="1" t="str">
        <f t="shared" si="5"/>
        <v>Paid but No Bank Match</v>
      </c>
    </row>
    <row r="317">
      <c r="A317" s="1" t="s">
        <v>360</v>
      </c>
      <c r="B317" s="1" t="s">
        <v>40</v>
      </c>
      <c r="C317" s="3">
        <v>45765.0</v>
      </c>
      <c r="D317" s="3">
        <v>45810.0</v>
      </c>
      <c r="E317" s="1" t="s">
        <v>50</v>
      </c>
      <c r="F317" s="1" t="s">
        <v>20</v>
      </c>
      <c r="G317" s="1">
        <v>1337.6</v>
      </c>
      <c r="H317" s="1" t="s">
        <v>34</v>
      </c>
      <c r="I317" s="1">
        <v>100.32</v>
      </c>
      <c r="J317" s="1">
        <f t="shared" si="1"/>
        <v>1437.92</v>
      </c>
      <c r="K317" s="1" t="b">
        <v>0</v>
      </c>
      <c r="L317" s="4"/>
      <c r="M317" s="1">
        <v>1437.92</v>
      </c>
      <c r="N317" s="1" t="b">
        <f t="shared" si="2"/>
        <v>0</v>
      </c>
      <c r="O317" s="1" t="b">
        <f t="shared" si="3"/>
        <v>1</v>
      </c>
      <c r="P317" s="1" t="str">
        <f t="shared" si="4"/>
        <v>Gulf Coast Telecom|-1437.92</v>
      </c>
      <c r="Q317" s="1" t="str">
        <f t="shared" si="5"/>
        <v>Unpaid</v>
      </c>
    </row>
    <row r="318">
      <c r="A318" s="1" t="s">
        <v>361</v>
      </c>
      <c r="B318" s="1" t="s">
        <v>27</v>
      </c>
      <c r="C318" s="3">
        <v>45950.0</v>
      </c>
      <c r="D318" s="3">
        <v>45980.0</v>
      </c>
      <c r="E318" s="1" t="s">
        <v>54</v>
      </c>
      <c r="F318" s="1" t="s">
        <v>60</v>
      </c>
      <c r="G318" s="1">
        <v>1463.92</v>
      </c>
      <c r="H318" s="1" t="s">
        <v>25</v>
      </c>
      <c r="I318" s="1">
        <v>87.84</v>
      </c>
      <c r="J318" s="1">
        <f t="shared" si="1"/>
        <v>1551.76</v>
      </c>
      <c r="K318" s="1" t="b">
        <v>1</v>
      </c>
      <c r="L318" s="3">
        <v>46013.0</v>
      </c>
      <c r="M318" s="1">
        <v>1551.76</v>
      </c>
      <c r="N318" s="1" t="b">
        <f t="shared" si="2"/>
        <v>0</v>
      </c>
      <c r="O318" s="1" t="b">
        <f t="shared" si="3"/>
        <v>0</v>
      </c>
      <c r="P318" s="1" t="str">
        <f t="shared" si="4"/>
        <v>Sunline Electrical|-1551.76</v>
      </c>
      <c r="Q318" s="1" t="str">
        <f t="shared" si="5"/>
        <v>Paid but No Bank Match</v>
      </c>
    </row>
    <row r="319">
      <c r="A319" s="1" t="s">
        <v>362</v>
      </c>
      <c r="B319" s="1" t="s">
        <v>40</v>
      </c>
      <c r="C319" s="3">
        <v>45982.0</v>
      </c>
      <c r="D319" s="3">
        <v>46012.0</v>
      </c>
      <c r="E319" s="1" t="s">
        <v>54</v>
      </c>
      <c r="F319" s="1" t="s">
        <v>24</v>
      </c>
      <c r="G319" s="1">
        <v>14824.43</v>
      </c>
      <c r="H319" s="1" t="s">
        <v>21</v>
      </c>
      <c r="I319" s="1">
        <v>1037.71</v>
      </c>
      <c r="J319" s="1">
        <f t="shared" si="1"/>
        <v>15862.14</v>
      </c>
      <c r="K319" s="1" t="b">
        <v>1</v>
      </c>
      <c r="L319" s="3">
        <v>46006.0</v>
      </c>
      <c r="M319" s="1">
        <v>15862.14</v>
      </c>
      <c r="N319" s="1" t="b">
        <f t="shared" si="2"/>
        <v>0</v>
      </c>
      <c r="O319" s="1" t="b">
        <f t="shared" si="3"/>
        <v>0</v>
      </c>
      <c r="P319" s="1" t="str">
        <f t="shared" si="4"/>
        <v>Gulf Coast Telecom|-15862.14</v>
      </c>
      <c r="Q319" s="1" t="str">
        <f t="shared" si="5"/>
        <v>Paid but No Bank Match</v>
      </c>
    </row>
    <row r="320">
      <c r="A320" s="1" t="s">
        <v>363</v>
      </c>
      <c r="B320" s="1" t="s">
        <v>42</v>
      </c>
      <c r="C320" s="3">
        <v>45838.0</v>
      </c>
      <c r="D320" s="3">
        <v>45868.0</v>
      </c>
      <c r="E320" s="1" t="s">
        <v>37</v>
      </c>
      <c r="F320" s="1" t="s">
        <v>47</v>
      </c>
      <c r="G320" s="1">
        <v>17306.21</v>
      </c>
      <c r="H320" s="1" t="s">
        <v>34</v>
      </c>
      <c r="I320" s="1">
        <v>1297.97</v>
      </c>
      <c r="J320" s="1">
        <f t="shared" si="1"/>
        <v>18603.38</v>
      </c>
      <c r="K320" s="1" t="b">
        <v>1</v>
      </c>
      <c r="L320" s="3">
        <v>45892.0</v>
      </c>
      <c r="M320" s="1">
        <v>18604.18</v>
      </c>
      <c r="N320" s="1" t="b">
        <f t="shared" si="2"/>
        <v>1</v>
      </c>
      <c r="O320" s="1" t="b">
        <f t="shared" si="3"/>
        <v>0</v>
      </c>
      <c r="P320" s="1" t="str">
        <f t="shared" si="4"/>
        <v>BrightPower Partners|-18603.38</v>
      </c>
      <c r="Q320" s="1" t="str">
        <f t="shared" si="5"/>
        <v>Paid but No Bank Match</v>
      </c>
    </row>
    <row r="321">
      <c r="A321" s="1" t="s">
        <v>364</v>
      </c>
      <c r="B321" s="1" t="s">
        <v>59</v>
      </c>
      <c r="C321" s="3">
        <v>45942.0</v>
      </c>
      <c r="D321" s="3">
        <v>45987.0</v>
      </c>
      <c r="E321" s="1" t="s">
        <v>50</v>
      </c>
      <c r="F321" s="1" t="s">
        <v>47</v>
      </c>
      <c r="G321" s="1">
        <v>11641.13</v>
      </c>
      <c r="H321" s="1" t="s">
        <v>21</v>
      </c>
      <c r="I321" s="1">
        <v>814.88</v>
      </c>
      <c r="J321" s="1">
        <f t="shared" si="1"/>
        <v>12456.01</v>
      </c>
      <c r="K321" s="1" t="b">
        <v>1</v>
      </c>
      <c r="L321" s="3">
        <v>45996.0</v>
      </c>
      <c r="M321" s="1">
        <v>12456.01</v>
      </c>
      <c r="N321" s="1" t="b">
        <f t="shared" si="2"/>
        <v>0</v>
      </c>
      <c r="O321" s="1" t="b">
        <f t="shared" si="3"/>
        <v>0</v>
      </c>
      <c r="P321" s="1" t="str">
        <f t="shared" si="4"/>
        <v>Skyline Engineering|-12456.01</v>
      </c>
      <c r="Q321" s="1" t="str">
        <f t="shared" si="5"/>
        <v>Paid but No Bank Match</v>
      </c>
    </row>
    <row r="322">
      <c r="A322" s="1" t="s">
        <v>365</v>
      </c>
      <c r="B322" s="1" t="s">
        <v>18</v>
      </c>
      <c r="C322" s="3">
        <v>45951.0</v>
      </c>
      <c r="D322" s="3">
        <v>45981.0</v>
      </c>
      <c r="E322" s="1" t="s">
        <v>31</v>
      </c>
      <c r="F322" s="1" t="s">
        <v>20</v>
      </c>
      <c r="G322" s="1">
        <v>1234.35</v>
      </c>
      <c r="H322" s="1" t="s">
        <v>34</v>
      </c>
      <c r="I322" s="1">
        <v>92.58</v>
      </c>
      <c r="J322" s="1">
        <f t="shared" si="1"/>
        <v>1325.59</v>
      </c>
      <c r="K322" s="1" t="b">
        <v>1</v>
      </c>
      <c r="L322" s="3">
        <v>46005.0</v>
      </c>
      <c r="M322" s="1">
        <v>1326.93</v>
      </c>
      <c r="N322" s="1" t="b">
        <f t="shared" si="2"/>
        <v>1</v>
      </c>
      <c r="O322" s="1" t="b">
        <f t="shared" si="3"/>
        <v>0</v>
      </c>
      <c r="P322" s="1" t="str">
        <f t="shared" si="4"/>
        <v>Tri-County Services|-1325.59</v>
      </c>
      <c r="Q322" s="1" t="str">
        <f t="shared" si="5"/>
        <v>Paid but No Bank Match</v>
      </c>
    </row>
    <row r="323">
      <c r="A323" s="1" t="s">
        <v>366</v>
      </c>
      <c r="B323" s="1" t="s">
        <v>30</v>
      </c>
      <c r="C323" s="3">
        <v>45891.0</v>
      </c>
      <c r="D323" s="3">
        <v>45921.0</v>
      </c>
      <c r="E323" s="1" t="s">
        <v>54</v>
      </c>
      <c r="F323" s="1" t="s">
        <v>47</v>
      </c>
      <c r="G323" s="1">
        <v>4478.36</v>
      </c>
      <c r="H323" s="1" t="s">
        <v>34</v>
      </c>
      <c r="I323" s="1">
        <v>335.88</v>
      </c>
      <c r="J323" s="1">
        <f t="shared" si="1"/>
        <v>4815.05</v>
      </c>
      <c r="K323" s="1" t="b">
        <v>1</v>
      </c>
      <c r="L323" s="3">
        <v>45903.0</v>
      </c>
      <c r="M323" s="1">
        <v>4814.24</v>
      </c>
      <c r="N323" s="1" t="b">
        <f t="shared" si="2"/>
        <v>1</v>
      </c>
      <c r="O323" s="1" t="b">
        <f t="shared" si="3"/>
        <v>0</v>
      </c>
      <c r="P323" s="1" t="str">
        <f t="shared" si="4"/>
        <v>Tidal Contractors|-4815.05</v>
      </c>
      <c r="Q323" s="1" t="str">
        <f t="shared" si="5"/>
        <v>Paid but No Bank Match</v>
      </c>
    </row>
    <row r="324">
      <c r="A324" s="1" t="s">
        <v>367</v>
      </c>
      <c r="B324" s="1" t="s">
        <v>18</v>
      </c>
      <c r="C324" s="3">
        <v>45814.0</v>
      </c>
      <c r="D324" s="3">
        <v>45859.0</v>
      </c>
      <c r="E324" s="1" t="s">
        <v>37</v>
      </c>
      <c r="F324" s="1" t="s">
        <v>20</v>
      </c>
      <c r="G324" s="1">
        <v>21769.49</v>
      </c>
      <c r="H324" s="1" t="s">
        <v>34</v>
      </c>
      <c r="I324" s="1">
        <v>1632.71</v>
      </c>
      <c r="J324" s="1">
        <f t="shared" si="1"/>
        <v>23402.2</v>
      </c>
      <c r="K324" s="1" t="b">
        <v>1</v>
      </c>
      <c r="L324" s="3">
        <v>45852.0</v>
      </c>
      <c r="M324" s="1">
        <v>23402.2</v>
      </c>
      <c r="N324" s="1" t="b">
        <f t="shared" si="2"/>
        <v>0</v>
      </c>
      <c r="O324" s="1" t="b">
        <f t="shared" si="3"/>
        <v>0</v>
      </c>
      <c r="P324" s="1" t="str">
        <f t="shared" si="4"/>
        <v>Tri-County Services|-23402.2</v>
      </c>
      <c r="Q324" s="1" t="str">
        <f t="shared" si="5"/>
        <v>Paid but No Bank Match</v>
      </c>
    </row>
    <row r="325">
      <c r="A325" s="1" t="s">
        <v>368</v>
      </c>
      <c r="B325" s="1" t="s">
        <v>57</v>
      </c>
      <c r="C325" s="3">
        <v>45850.0</v>
      </c>
      <c r="D325" s="3">
        <v>45880.0</v>
      </c>
      <c r="E325" s="1" t="s">
        <v>37</v>
      </c>
      <c r="F325" s="1" t="s">
        <v>28</v>
      </c>
      <c r="G325" s="1">
        <v>23643.05</v>
      </c>
      <c r="H325" s="1" t="s">
        <v>34</v>
      </c>
      <c r="I325" s="1">
        <v>1773.23</v>
      </c>
      <c r="J325" s="1">
        <f t="shared" si="1"/>
        <v>25416.28</v>
      </c>
      <c r="K325" s="1" t="b">
        <v>1</v>
      </c>
      <c r="L325" s="3">
        <v>45871.0</v>
      </c>
      <c r="M325" s="1">
        <v>25416.28</v>
      </c>
      <c r="N325" s="1" t="b">
        <f t="shared" si="2"/>
        <v>0</v>
      </c>
      <c r="O325" s="1" t="b">
        <f t="shared" si="3"/>
        <v>0</v>
      </c>
      <c r="P325" s="1" t="str">
        <f t="shared" si="4"/>
        <v>Florida Line Crew LLC|-25416.28</v>
      </c>
      <c r="Q325" s="1" t="str">
        <f t="shared" si="5"/>
        <v>Paid but No Bank Match</v>
      </c>
    </row>
    <row r="326">
      <c r="A326" s="1" t="s">
        <v>369</v>
      </c>
      <c r="B326" s="1" t="s">
        <v>59</v>
      </c>
      <c r="C326" s="3">
        <v>45683.0</v>
      </c>
      <c r="D326" s="3">
        <v>45728.0</v>
      </c>
      <c r="E326" s="1" t="s">
        <v>50</v>
      </c>
      <c r="F326" s="1" t="s">
        <v>24</v>
      </c>
      <c r="G326" s="1">
        <v>14479.94</v>
      </c>
      <c r="H326" s="1" t="s">
        <v>45</v>
      </c>
      <c r="I326" s="1">
        <v>941.2</v>
      </c>
      <c r="J326" s="1">
        <f t="shared" si="1"/>
        <v>15422.56</v>
      </c>
      <c r="K326" s="1" t="b">
        <v>1</v>
      </c>
      <c r="L326" s="3">
        <v>45733.0</v>
      </c>
      <c r="M326" s="1">
        <v>15421.14</v>
      </c>
      <c r="N326" s="1" t="b">
        <f t="shared" si="2"/>
        <v>1</v>
      </c>
      <c r="O326" s="1" t="b">
        <f t="shared" si="3"/>
        <v>0</v>
      </c>
      <c r="P326" s="1" t="str">
        <f t="shared" si="4"/>
        <v>Skyline Engineering|-15422.56</v>
      </c>
      <c r="Q326" s="1" t="str">
        <f t="shared" si="5"/>
        <v>Paid but No Bank Match</v>
      </c>
    </row>
    <row r="327">
      <c r="A327" s="1" t="s">
        <v>370</v>
      </c>
      <c r="B327" s="1" t="s">
        <v>30</v>
      </c>
      <c r="C327" s="3">
        <v>45946.0</v>
      </c>
      <c r="D327" s="3">
        <v>45991.0</v>
      </c>
      <c r="E327" s="1" t="s">
        <v>50</v>
      </c>
      <c r="F327" s="1" t="s">
        <v>47</v>
      </c>
      <c r="G327" s="1">
        <v>23551.45</v>
      </c>
      <c r="H327" s="1" t="s">
        <v>25</v>
      </c>
      <c r="I327" s="1">
        <v>1413.09</v>
      </c>
      <c r="J327" s="1">
        <f t="shared" si="1"/>
        <v>24965.09</v>
      </c>
      <c r="K327" s="1" t="b">
        <v>1</v>
      </c>
      <c r="L327" s="3">
        <v>45998.0</v>
      </c>
      <c r="M327" s="1">
        <v>24964.54</v>
      </c>
      <c r="N327" s="1" t="b">
        <f t="shared" si="2"/>
        <v>1</v>
      </c>
      <c r="O327" s="1" t="b">
        <f t="shared" si="3"/>
        <v>0</v>
      </c>
      <c r="P327" s="1" t="str">
        <f t="shared" si="4"/>
        <v>Tidal Contractors|-24965.09</v>
      </c>
      <c r="Q327" s="1" t="str">
        <f t="shared" si="5"/>
        <v>Paid but No Bank Match</v>
      </c>
    </row>
    <row r="328">
      <c r="A328" s="1" t="s">
        <v>371</v>
      </c>
      <c r="B328" s="1" t="s">
        <v>18</v>
      </c>
      <c r="C328" s="3">
        <v>45726.0</v>
      </c>
      <c r="D328" s="3">
        <v>45756.0</v>
      </c>
      <c r="E328" s="1" t="s">
        <v>50</v>
      </c>
      <c r="F328" s="1" t="s">
        <v>24</v>
      </c>
      <c r="G328" s="1">
        <v>9040.05</v>
      </c>
      <c r="H328" s="1" t="s">
        <v>25</v>
      </c>
      <c r="I328" s="1">
        <v>542.4</v>
      </c>
      <c r="J328" s="1">
        <f t="shared" si="1"/>
        <v>9582.45</v>
      </c>
      <c r="K328" s="1" t="b">
        <v>1</v>
      </c>
      <c r="L328" s="3">
        <v>45794.0</v>
      </c>
      <c r="M328" s="1">
        <v>9582.45</v>
      </c>
      <c r="N328" s="1" t="b">
        <f t="shared" si="2"/>
        <v>0</v>
      </c>
      <c r="O328" s="1" t="b">
        <f t="shared" si="3"/>
        <v>0</v>
      </c>
      <c r="P328" s="1" t="str">
        <f t="shared" si="4"/>
        <v>Tri-County Services|-9582.45</v>
      </c>
      <c r="Q328" s="1" t="str">
        <f t="shared" si="5"/>
        <v>Paid but No Bank Match</v>
      </c>
    </row>
    <row r="329">
      <c r="A329" s="1" t="s">
        <v>372</v>
      </c>
      <c r="B329" s="1" t="s">
        <v>27</v>
      </c>
      <c r="C329" s="3">
        <v>45720.0</v>
      </c>
      <c r="D329" s="3">
        <v>45765.0</v>
      </c>
      <c r="E329" s="1" t="s">
        <v>50</v>
      </c>
      <c r="F329" s="1" t="s">
        <v>32</v>
      </c>
      <c r="G329" s="1">
        <v>10469.25</v>
      </c>
      <c r="H329" s="1" t="s">
        <v>21</v>
      </c>
      <c r="I329" s="1">
        <v>732.85</v>
      </c>
      <c r="J329" s="1">
        <f t="shared" si="1"/>
        <v>11202.1</v>
      </c>
      <c r="K329" s="1" t="b">
        <v>0</v>
      </c>
      <c r="L329" s="4"/>
      <c r="M329" s="1">
        <v>11202.1</v>
      </c>
      <c r="N329" s="1" t="b">
        <f t="shared" si="2"/>
        <v>0</v>
      </c>
      <c r="O329" s="1" t="b">
        <f t="shared" si="3"/>
        <v>1</v>
      </c>
      <c r="P329" s="1" t="str">
        <f t="shared" si="4"/>
        <v>Sunline Electrical|-11202.1</v>
      </c>
      <c r="Q329" s="1" t="str">
        <f t="shared" si="5"/>
        <v>Unpaid</v>
      </c>
    </row>
    <row r="330">
      <c r="A330" s="1" t="s">
        <v>373</v>
      </c>
      <c r="B330" s="1" t="s">
        <v>27</v>
      </c>
      <c r="C330" s="3">
        <v>45730.0</v>
      </c>
      <c r="D330" s="3">
        <v>45775.0</v>
      </c>
      <c r="E330" s="1" t="s">
        <v>37</v>
      </c>
      <c r="F330" s="1" t="s">
        <v>47</v>
      </c>
      <c r="G330" s="1">
        <v>7572.8</v>
      </c>
      <c r="H330" s="1" t="s">
        <v>25</v>
      </c>
      <c r="I330" s="1">
        <v>454.37</v>
      </c>
      <c r="J330" s="1">
        <f t="shared" si="1"/>
        <v>8027.76</v>
      </c>
      <c r="K330" s="1" t="b">
        <v>1</v>
      </c>
      <c r="L330" s="3">
        <v>45738.0</v>
      </c>
      <c r="M330" s="1">
        <v>8027.17</v>
      </c>
      <c r="N330" s="1" t="b">
        <f t="shared" si="2"/>
        <v>1</v>
      </c>
      <c r="O330" s="1" t="b">
        <f t="shared" si="3"/>
        <v>0</v>
      </c>
      <c r="P330" s="1" t="str">
        <f t="shared" si="4"/>
        <v>Sunline Electrical|-8027.76</v>
      </c>
      <c r="Q330" s="1" t="str">
        <f t="shared" si="5"/>
        <v>Paid but No Bank Match</v>
      </c>
    </row>
    <row r="331">
      <c r="A331" s="1" t="s">
        <v>374</v>
      </c>
      <c r="B331" s="1" t="s">
        <v>90</v>
      </c>
      <c r="C331" s="3">
        <v>45759.0</v>
      </c>
      <c r="D331" s="3">
        <v>45789.0</v>
      </c>
      <c r="E331" s="1" t="s">
        <v>50</v>
      </c>
      <c r="F331" s="1" t="s">
        <v>20</v>
      </c>
      <c r="G331" s="1">
        <v>22583.7</v>
      </c>
      <c r="H331" s="1" t="s">
        <v>45</v>
      </c>
      <c r="I331" s="1">
        <v>1467.94</v>
      </c>
      <c r="J331" s="1">
        <f t="shared" si="1"/>
        <v>24051.64</v>
      </c>
      <c r="K331" s="1" t="b">
        <v>0</v>
      </c>
      <c r="L331" s="4"/>
      <c r="M331" s="1">
        <v>24051.64</v>
      </c>
      <c r="N331" s="1" t="b">
        <f t="shared" si="2"/>
        <v>0</v>
      </c>
      <c r="O331" s="1" t="b">
        <f t="shared" si="3"/>
        <v>1</v>
      </c>
      <c r="P331" s="1" t="str">
        <f t="shared" si="4"/>
        <v>Peak Materials Supply|-24051.64</v>
      </c>
      <c r="Q331" s="1" t="str">
        <f t="shared" si="5"/>
        <v>Unpaid</v>
      </c>
    </row>
    <row r="332">
      <c r="A332" s="1" t="s">
        <v>375</v>
      </c>
      <c r="B332" s="1" t="s">
        <v>27</v>
      </c>
      <c r="C332" s="3">
        <v>45936.0</v>
      </c>
      <c r="D332" s="3">
        <v>45981.0</v>
      </c>
      <c r="E332" s="1" t="s">
        <v>37</v>
      </c>
      <c r="F332" s="1" t="s">
        <v>24</v>
      </c>
      <c r="G332" s="1">
        <v>20536.94</v>
      </c>
      <c r="H332" s="1" t="s">
        <v>45</v>
      </c>
      <c r="I332" s="1">
        <v>1334.9</v>
      </c>
      <c r="J332" s="1">
        <f t="shared" si="1"/>
        <v>21871.84</v>
      </c>
      <c r="K332" s="1" t="b">
        <v>1</v>
      </c>
      <c r="L332" s="3">
        <v>45994.0</v>
      </c>
      <c r="M332" s="1">
        <v>21871.84</v>
      </c>
      <c r="N332" s="1" t="b">
        <f t="shared" si="2"/>
        <v>0</v>
      </c>
      <c r="O332" s="1" t="b">
        <f t="shared" si="3"/>
        <v>0</v>
      </c>
      <c r="P332" s="1" t="str">
        <f t="shared" si="4"/>
        <v>Sunline Electrical|-21871.84</v>
      </c>
      <c r="Q332" s="1" t="str">
        <f t="shared" si="5"/>
        <v>Paid but No Bank Match</v>
      </c>
    </row>
    <row r="333">
      <c r="A333" s="1" t="s">
        <v>376</v>
      </c>
      <c r="B333" s="1" t="s">
        <v>62</v>
      </c>
      <c r="C333" s="3">
        <v>45746.0</v>
      </c>
      <c r="D333" s="3">
        <v>45791.0</v>
      </c>
      <c r="E333" s="1" t="s">
        <v>54</v>
      </c>
      <c r="F333" s="1" t="s">
        <v>47</v>
      </c>
      <c r="G333" s="1">
        <v>15940.11</v>
      </c>
      <c r="H333" s="1" t="s">
        <v>45</v>
      </c>
      <c r="I333" s="1">
        <v>1036.11</v>
      </c>
      <c r="J333" s="1">
        <f t="shared" si="1"/>
        <v>16976.48</v>
      </c>
      <c r="K333" s="1" t="b">
        <v>1</v>
      </c>
      <c r="L333" s="3">
        <v>45765.0</v>
      </c>
      <c r="M333" s="1">
        <v>16976.22</v>
      </c>
      <c r="N333" s="1" t="b">
        <f t="shared" si="2"/>
        <v>1</v>
      </c>
      <c r="O333" s="1" t="b">
        <f t="shared" si="3"/>
        <v>0</v>
      </c>
      <c r="P333" s="1" t="str">
        <f t="shared" si="4"/>
        <v>Bay Area Rentals|-16976.48</v>
      </c>
      <c r="Q333" s="1" t="str">
        <f t="shared" si="5"/>
        <v>Paid but No Bank Match</v>
      </c>
    </row>
    <row r="334">
      <c r="A334" s="1" t="s">
        <v>377</v>
      </c>
      <c r="B334" s="1" t="s">
        <v>36</v>
      </c>
      <c r="C334" s="3">
        <v>45973.0</v>
      </c>
      <c r="D334" s="3">
        <v>46018.0</v>
      </c>
      <c r="E334" s="1" t="s">
        <v>54</v>
      </c>
      <c r="F334" s="1" t="s">
        <v>20</v>
      </c>
      <c r="G334" s="1">
        <v>15113.89</v>
      </c>
      <c r="H334" s="1" t="s">
        <v>45</v>
      </c>
      <c r="I334" s="1">
        <v>982.4</v>
      </c>
      <c r="J334" s="1">
        <f t="shared" si="1"/>
        <v>16096.29</v>
      </c>
      <c r="K334" s="1" t="b">
        <v>1</v>
      </c>
      <c r="L334" s="3">
        <v>46012.0</v>
      </c>
      <c r="M334" s="1">
        <v>16096.29</v>
      </c>
      <c r="N334" s="1" t="b">
        <f t="shared" si="2"/>
        <v>0</v>
      </c>
      <c r="O334" s="1" t="b">
        <f t="shared" si="3"/>
        <v>0</v>
      </c>
      <c r="P334" s="1" t="str">
        <f t="shared" si="4"/>
        <v>Tampa Grid Services|-16096.29</v>
      </c>
      <c r="Q334" s="1" t="str">
        <f t="shared" si="5"/>
        <v>Paid but No Bank Match</v>
      </c>
    </row>
    <row r="335">
      <c r="A335" s="1" t="s">
        <v>378</v>
      </c>
      <c r="B335" s="1" t="s">
        <v>40</v>
      </c>
      <c r="C335" s="3">
        <v>45759.0</v>
      </c>
      <c r="D335" s="3">
        <v>45804.0</v>
      </c>
      <c r="E335" s="1" t="s">
        <v>19</v>
      </c>
      <c r="F335" s="1" t="s">
        <v>47</v>
      </c>
      <c r="G335" s="1">
        <v>15284.49</v>
      </c>
      <c r="H335" s="1" t="s">
        <v>21</v>
      </c>
      <c r="I335" s="1">
        <v>1069.91</v>
      </c>
      <c r="J335" s="1">
        <f t="shared" si="1"/>
        <v>16354.4</v>
      </c>
      <c r="K335" s="1" t="b">
        <v>1</v>
      </c>
      <c r="L335" s="3">
        <v>45809.0</v>
      </c>
      <c r="M335" s="1">
        <v>16354.4</v>
      </c>
      <c r="N335" s="1" t="b">
        <f t="shared" si="2"/>
        <v>0</v>
      </c>
      <c r="O335" s="1" t="b">
        <f t="shared" si="3"/>
        <v>0</v>
      </c>
      <c r="P335" s="1" t="str">
        <f t="shared" si="4"/>
        <v>Gulf Coast Telecom|-16354.4</v>
      </c>
      <c r="Q335" s="1" t="str">
        <f t="shared" si="5"/>
        <v>Paid but No Bank Match</v>
      </c>
    </row>
    <row r="336">
      <c r="A336" s="1" t="s">
        <v>379</v>
      </c>
      <c r="B336" s="1" t="s">
        <v>30</v>
      </c>
      <c r="C336" s="3">
        <v>45922.0</v>
      </c>
      <c r="D336" s="3">
        <v>45967.0</v>
      </c>
      <c r="E336" s="1" t="s">
        <v>37</v>
      </c>
      <c r="F336" s="1" t="s">
        <v>24</v>
      </c>
      <c r="G336" s="1">
        <v>21651.67</v>
      </c>
      <c r="H336" s="1" t="s">
        <v>34</v>
      </c>
      <c r="I336" s="1">
        <v>1623.88</v>
      </c>
      <c r="J336" s="1">
        <f t="shared" si="1"/>
        <v>23275.55</v>
      </c>
      <c r="K336" s="1" t="b">
        <v>1</v>
      </c>
      <c r="L336" s="3">
        <v>45954.0</v>
      </c>
      <c r="M336" s="1">
        <v>23275.55</v>
      </c>
      <c r="N336" s="1" t="b">
        <f t="shared" si="2"/>
        <v>0</v>
      </c>
      <c r="O336" s="1" t="b">
        <f t="shared" si="3"/>
        <v>0</v>
      </c>
      <c r="P336" s="1" t="str">
        <f t="shared" si="4"/>
        <v>Tidal Contractors|-23275.55</v>
      </c>
      <c r="Q336" s="1" t="str">
        <f t="shared" si="5"/>
        <v>Paid but No Bank Match</v>
      </c>
    </row>
    <row r="337">
      <c r="A337" s="1" t="s">
        <v>380</v>
      </c>
      <c r="B337" s="1" t="s">
        <v>57</v>
      </c>
      <c r="C337" s="3">
        <v>45774.0</v>
      </c>
      <c r="D337" s="3">
        <v>45819.0</v>
      </c>
      <c r="E337" s="1" t="s">
        <v>37</v>
      </c>
      <c r="F337" s="1" t="s">
        <v>47</v>
      </c>
      <c r="G337" s="1">
        <v>3168.5</v>
      </c>
      <c r="H337" s="1" t="s">
        <v>25</v>
      </c>
      <c r="I337" s="1">
        <v>190.11</v>
      </c>
      <c r="J337" s="1">
        <f t="shared" si="1"/>
        <v>3358.61</v>
      </c>
      <c r="K337" s="1" t="b">
        <v>1</v>
      </c>
      <c r="L337" s="3">
        <v>45826.0</v>
      </c>
      <c r="M337" s="1">
        <v>3358.61</v>
      </c>
      <c r="N337" s="1" t="b">
        <f t="shared" si="2"/>
        <v>0</v>
      </c>
      <c r="O337" s="1" t="b">
        <f t="shared" si="3"/>
        <v>0</v>
      </c>
      <c r="P337" s="1" t="str">
        <f t="shared" si="4"/>
        <v>Florida Line Crew LLC|-3358.61</v>
      </c>
      <c r="Q337" s="1" t="str">
        <f t="shared" si="5"/>
        <v>Paid but No Bank Match</v>
      </c>
    </row>
    <row r="338">
      <c r="A338" s="1" t="s">
        <v>381</v>
      </c>
      <c r="B338" s="1" t="s">
        <v>36</v>
      </c>
      <c r="C338" s="3">
        <v>45950.0</v>
      </c>
      <c r="D338" s="3">
        <v>45995.0</v>
      </c>
      <c r="E338" s="1" t="s">
        <v>37</v>
      </c>
      <c r="F338" s="1" t="s">
        <v>47</v>
      </c>
      <c r="G338" s="1">
        <v>12179.04</v>
      </c>
      <c r="H338" s="1" t="s">
        <v>34</v>
      </c>
      <c r="I338" s="1">
        <v>913.43</v>
      </c>
      <c r="J338" s="1">
        <f t="shared" si="1"/>
        <v>13092.47</v>
      </c>
      <c r="K338" s="1" t="b">
        <v>1</v>
      </c>
      <c r="L338" s="3">
        <v>46000.0</v>
      </c>
      <c r="M338" s="1">
        <v>13092.47</v>
      </c>
      <c r="N338" s="1" t="b">
        <f t="shared" si="2"/>
        <v>0</v>
      </c>
      <c r="O338" s="1" t="b">
        <f t="shared" si="3"/>
        <v>0</v>
      </c>
      <c r="P338" s="1" t="str">
        <f t="shared" si="4"/>
        <v>Tampa Grid Services|-13092.47</v>
      </c>
      <c r="Q338" s="1" t="str">
        <f t="shared" si="5"/>
        <v>Paid but No Bank Match</v>
      </c>
    </row>
    <row r="339">
      <c r="A339" s="1" t="s">
        <v>382</v>
      </c>
      <c r="B339" s="1" t="s">
        <v>42</v>
      </c>
      <c r="C339" s="3">
        <v>46021.0</v>
      </c>
      <c r="D339" s="3">
        <v>46066.0</v>
      </c>
      <c r="E339" s="1" t="s">
        <v>31</v>
      </c>
      <c r="F339" s="1" t="s">
        <v>51</v>
      </c>
      <c r="G339" s="1">
        <v>946.7</v>
      </c>
      <c r="H339" s="1" t="s">
        <v>45</v>
      </c>
      <c r="I339" s="1">
        <v>61.54</v>
      </c>
      <c r="J339" s="1">
        <f t="shared" si="1"/>
        <v>1006.84</v>
      </c>
      <c r="K339" s="1" t="b">
        <v>0</v>
      </c>
      <c r="L339" s="4"/>
      <c r="M339" s="1">
        <v>1008.24</v>
      </c>
      <c r="N339" s="1" t="b">
        <f t="shared" si="2"/>
        <v>1</v>
      </c>
      <c r="O339" s="1" t="b">
        <f t="shared" si="3"/>
        <v>1</v>
      </c>
      <c r="P339" s="1" t="str">
        <f t="shared" si="4"/>
        <v>BrightPower Partners|-1006.84</v>
      </c>
      <c r="Q339" s="1" t="str">
        <f t="shared" si="5"/>
        <v>Unpaid</v>
      </c>
    </row>
    <row r="340">
      <c r="A340" s="1" t="s">
        <v>383</v>
      </c>
      <c r="B340" s="1" t="s">
        <v>18</v>
      </c>
      <c r="C340" s="3">
        <v>45774.0</v>
      </c>
      <c r="D340" s="3">
        <v>45804.0</v>
      </c>
      <c r="E340" s="1" t="s">
        <v>19</v>
      </c>
      <c r="F340" s="1" t="s">
        <v>47</v>
      </c>
      <c r="G340" s="1">
        <v>6465.32</v>
      </c>
      <c r="H340" s="1" t="s">
        <v>45</v>
      </c>
      <c r="I340" s="1">
        <v>420.25</v>
      </c>
      <c r="J340" s="1">
        <f t="shared" si="1"/>
        <v>6885.57</v>
      </c>
      <c r="K340" s="1" t="b">
        <v>0</v>
      </c>
      <c r="L340" s="4"/>
      <c r="M340" s="1">
        <v>6885.57</v>
      </c>
      <c r="N340" s="1" t="b">
        <f t="shared" si="2"/>
        <v>0</v>
      </c>
      <c r="O340" s="1" t="b">
        <f t="shared" si="3"/>
        <v>1</v>
      </c>
      <c r="P340" s="1" t="str">
        <f t="shared" si="4"/>
        <v>Tri-County Services|-6885.57</v>
      </c>
      <c r="Q340" s="1" t="str">
        <f t="shared" si="5"/>
        <v>Unpaid</v>
      </c>
    </row>
    <row r="341">
      <c r="A341" s="1" t="s">
        <v>384</v>
      </c>
      <c r="B341" s="1" t="s">
        <v>30</v>
      </c>
      <c r="C341" s="3">
        <v>45928.0</v>
      </c>
      <c r="D341" s="3">
        <v>45958.0</v>
      </c>
      <c r="E341" s="1" t="s">
        <v>19</v>
      </c>
      <c r="F341" s="1" t="s">
        <v>28</v>
      </c>
      <c r="G341" s="1">
        <v>12239.99</v>
      </c>
      <c r="H341" s="1" t="s">
        <v>25</v>
      </c>
      <c r="I341" s="1">
        <v>734.4</v>
      </c>
      <c r="J341" s="1">
        <f t="shared" si="1"/>
        <v>12974.39</v>
      </c>
      <c r="K341" s="1" t="b">
        <v>1</v>
      </c>
      <c r="L341" s="3">
        <v>45984.0</v>
      </c>
      <c r="M341" s="1">
        <v>12974.39</v>
      </c>
      <c r="N341" s="1" t="b">
        <f t="shared" si="2"/>
        <v>0</v>
      </c>
      <c r="O341" s="1" t="b">
        <f t="shared" si="3"/>
        <v>0</v>
      </c>
      <c r="P341" s="1" t="str">
        <f t="shared" si="4"/>
        <v>Tidal Contractors|-12974.39</v>
      </c>
      <c r="Q341" s="1" t="str">
        <f t="shared" si="5"/>
        <v>Paid but No Bank Match</v>
      </c>
    </row>
    <row r="342">
      <c r="A342" s="1" t="s">
        <v>385</v>
      </c>
      <c r="B342" s="1" t="s">
        <v>27</v>
      </c>
      <c r="C342" s="3">
        <v>45684.0</v>
      </c>
      <c r="D342" s="3">
        <v>45714.0</v>
      </c>
      <c r="E342" s="1" t="s">
        <v>19</v>
      </c>
      <c r="F342" s="1" t="s">
        <v>32</v>
      </c>
      <c r="G342" s="1">
        <v>13540.38</v>
      </c>
      <c r="H342" s="1" t="s">
        <v>45</v>
      </c>
      <c r="I342" s="1">
        <v>880.12</v>
      </c>
      <c r="J342" s="1">
        <f t="shared" si="1"/>
        <v>14420.5</v>
      </c>
      <c r="K342" s="1" t="b">
        <v>1</v>
      </c>
      <c r="L342" s="3">
        <v>45724.0</v>
      </c>
      <c r="M342" s="1">
        <v>14420.5</v>
      </c>
      <c r="N342" s="1" t="b">
        <f t="shared" si="2"/>
        <v>0</v>
      </c>
      <c r="O342" s="1" t="b">
        <f t="shared" si="3"/>
        <v>0</v>
      </c>
      <c r="P342" s="1" t="str">
        <f t="shared" si="4"/>
        <v>Sunline Electrical|-14420.5</v>
      </c>
      <c r="Q342" s="1" t="str">
        <f t="shared" si="5"/>
        <v>Paid but No Bank Match</v>
      </c>
    </row>
    <row r="343">
      <c r="A343" s="1" t="s">
        <v>386</v>
      </c>
      <c r="B343" s="1" t="s">
        <v>57</v>
      </c>
      <c r="C343" s="3">
        <v>45815.0</v>
      </c>
      <c r="D343" s="3">
        <v>45860.0</v>
      </c>
      <c r="E343" s="1" t="s">
        <v>31</v>
      </c>
      <c r="F343" s="1" t="s">
        <v>24</v>
      </c>
      <c r="G343" s="1">
        <v>7179.29</v>
      </c>
      <c r="H343" s="1" t="s">
        <v>21</v>
      </c>
      <c r="I343" s="1">
        <v>502.55</v>
      </c>
      <c r="J343" s="1">
        <f t="shared" si="1"/>
        <v>7681.84</v>
      </c>
      <c r="K343" s="1" t="b">
        <v>1</v>
      </c>
      <c r="L343" s="3">
        <v>45826.0</v>
      </c>
      <c r="M343" s="1">
        <v>7681.84</v>
      </c>
      <c r="N343" s="1" t="b">
        <f t="shared" si="2"/>
        <v>0</v>
      </c>
      <c r="O343" s="1" t="b">
        <f t="shared" si="3"/>
        <v>0</v>
      </c>
      <c r="P343" s="1" t="str">
        <f t="shared" si="4"/>
        <v>Florida Line Crew LLC|-7681.84</v>
      </c>
      <c r="Q343" s="1" t="str">
        <f t="shared" si="5"/>
        <v>Paid but No Bank Match</v>
      </c>
    </row>
    <row r="344">
      <c r="A344" s="1" t="s">
        <v>387</v>
      </c>
      <c r="B344" s="1" t="s">
        <v>18</v>
      </c>
      <c r="C344" s="3">
        <v>46008.0</v>
      </c>
      <c r="D344" s="3">
        <v>46053.0</v>
      </c>
      <c r="E344" s="1" t="s">
        <v>37</v>
      </c>
      <c r="F344" s="1" t="s">
        <v>20</v>
      </c>
      <c r="G344" s="1">
        <v>20094.64</v>
      </c>
      <c r="H344" s="1" t="s">
        <v>25</v>
      </c>
      <c r="I344" s="1">
        <v>1205.68</v>
      </c>
      <c r="J344" s="1">
        <f t="shared" si="1"/>
        <v>21300.32</v>
      </c>
      <c r="K344" s="1" t="b">
        <v>0</v>
      </c>
      <c r="L344" s="4"/>
      <c r="M344" s="1">
        <v>21300.32</v>
      </c>
      <c r="N344" s="1" t="b">
        <f t="shared" si="2"/>
        <v>0</v>
      </c>
      <c r="O344" s="1" t="b">
        <f t="shared" si="3"/>
        <v>1</v>
      </c>
      <c r="P344" s="1" t="str">
        <f t="shared" si="4"/>
        <v>Tri-County Services|-21300.32</v>
      </c>
      <c r="Q344" s="1" t="str">
        <f t="shared" si="5"/>
        <v>Unpaid</v>
      </c>
    </row>
    <row r="345">
      <c r="A345" s="1" t="s">
        <v>388</v>
      </c>
      <c r="B345" s="1" t="s">
        <v>40</v>
      </c>
      <c r="C345" s="3">
        <v>45969.0</v>
      </c>
      <c r="D345" s="3">
        <v>45999.0</v>
      </c>
      <c r="E345" s="1" t="s">
        <v>31</v>
      </c>
      <c r="F345" s="1" t="s">
        <v>20</v>
      </c>
      <c r="G345" s="1">
        <v>5038.1</v>
      </c>
      <c r="H345" s="1" t="s">
        <v>25</v>
      </c>
      <c r="I345" s="1">
        <v>302.29</v>
      </c>
      <c r="J345" s="1">
        <f t="shared" si="1"/>
        <v>5340.39</v>
      </c>
      <c r="K345" s="1" t="b">
        <v>0</v>
      </c>
      <c r="L345" s="4"/>
      <c r="M345" s="1">
        <v>5340.39</v>
      </c>
      <c r="N345" s="1" t="b">
        <f t="shared" si="2"/>
        <v>0</v>
      </c>
      <c r="O345" s="1" t="b">
        <f t="shared" si="3"/>
        <v>1</v>
      </c>
      <c r="P345" s="1" t="str">
        <f t="shared" si="4"/>
        <v>Gulf Coast Telecom|-5340.39</v>
      </c>
      <c r="Q345" s="1" t="str">
        <f t="shared" si="5"/>
        <v>Unpaid</v>
      </c>
    </row>
    <row r="346">
      <c r="A346" s="1" t="s">
        <v>389</v>
      </c>
      <c r="B346" s="1" t="s">
        <v>57</v>
      </c>
      <c r="C346" s="3">
        <v>45741.0</v>
      </c>
      <c r="D346" s="3">
        <v>45786.0</v>
      </c>
      <c r="E346" s="1" t="s">
        <v>50</v>
      </c>
      <c r="F346" s="1" t="s">
        <v>24</v>
      </c>
      <c r="G346" s="1">
        <v>20246.82</v>
      </c>
      <c r="H346" s="1" t="s">
        <v>34</v>
      </c>
      <c r="I346" s="1">
        <v>1518.51</v>
      </c>
      <c r="J346" s="1">
        <f t="shared" si="1"/>
        <v>21766.65</v>
      </c>
      <c r="K346" s="1" t="b">
        <v>1</v>
      </c>
      <c r="L346" s="3">
        <v>45790.0</v>
      </c>
      <c r="M346" s="1">
        <v>21765.33</v>
      </c>
      <c r="N346" s="1" t="b">
        <f t="shared" si="2"/>
        <v>1</v>
      </c>
      <c r="O346" s="1" t="b">
        <f t="shared" si="3"/>
        <v>0</v>
      </c>
      <c r="P346" s="1" t="str">
        <f t="shared" si="4"/>
        <v>Florida Line Crew LLC|-21766.65</v>
      </c>
      <c r="Q346" s="1" t="str">
        <f t="shared" si="5"/>
        <v>Paid but No Bank Match</v>
      </c>
    </row>
    <row r="347">
      <c r="A347" s="1" t="s">
        <v>390</v>
      </c>
      <c r="B347" s="1" t="s">
        <v>42</v>
      </c>
      <c r="C347" s="3">
        <v>46019.0</v>
      </c>
      <c r="D347" s="3">
        <v>46049.0</v>
      </c>
      <c r="E347" s="1" t="s">
        <v>54</v>
      </c>
      <c r="F347" s="1" t="s">
        <v>47</v>
      </c>
      <c r="G347" s="1">
        <v>563.31</v>
      </c>
      <c r="H347" s="1" t="s">
        <v>34</v>
      </c>
      <c r="I347" s="1">
        <v>42.25</v>
      </c>
      <c r="J347" s="1">
        <f t="shared" si="1"/>
        <v>605.56</v>
      </c>
      <c r="K347" s="1" t="b">
        <v>0</v>
      </c>
      <c r="L347" s="4"/>
      <c r="M347" s="1">
        <v>605.56</v>
      </c>
      <c r="N347" s="1" t="b">
        <f t="shared" si="2"/>
        <v>0</v>
      </c>
      <c r="O347" s="1" t="b">
        <f t="shared" si="3"/>
        <v>1</v>
      </c>
      <c r="P347" s="1" t="str">
        <f t="shared" si="4"/>
        <v>BrightPower Partners|-605.56</v>
      </c>
      <c r="Q347" s="1" t="str">
        <f t="shared" si="5"/>
        <v>Unpaid</v>
      </c>
    </row>
    <row r="348">
      <c r="A348" s="1" t="s">
        <v>391</v>
      </c>
      <c r="B348" s="1" t="s">
        <v>90</v>
      </c>
      <c r="C348" s="3">
        <v>45871.0</v>
      </c>
      <c r="D348" s="3">
        <v>45916.0</v>
      </c>
      <c r="E348" s="1" t="s">
        <v>54</v>
      </c>
      <c r="F348" s="1" t="s">
        <v>28</v>
      </c>
      <c r="G348" s="1">
        <v>19946.72</v>
      </c>
      <c r="H348" s="1" t="s">
        <v>45</v>
      </c>
      <c r="I348" s="1">
        <v>1296.54</v>
      </c>
      <c r="J348" s="1">
        <f t="shared" si="1"/>
        <v>21243.26</v>
      </c>
      <c r="K348" s="1" t="b">
        <v>1</v>
      </c>
      <c r="L348" s="3">
        <v>45917.0</v>
      </c>
      <c r="M348" s="1">
        <v>21243.26</v>
      </c>
      <c r="N348" s="1" t="b">
        <f t="shared" si="2"/>
        <v>0</v>
      </c>
      <c r="O348" s="1" t="b">
        <f t="shared" si="3"/>
        <v>0</v>
      </c>
      <c r="P348" s="1" t="str">
        <f t="shared" si="4"/>
        <v>Peak Materials Supply|-21243.26</v>
      </c>
      <c r="Q348" s="1" t="str">
        <f t="shared" si="5"/>
        <v>Paid but No Bank Match</v>
      </c>
    </row>
    <row r="349">
      <c r="A349" s="1" t="s">
        <v>392</v>
      </c>
      <c r="B349" s="1" t="s">
        <v>42</v>
      </c>
      <c r="C349" s="3">
        <v>45729.0</v>
      </c>
      <c r="D349" s="3">
        <v>45774.0</v>
      </c>
      <c r="E349" s="1" t="s">
        <v>50</v>
      </c>
      <c r="F349" s="1" t="s">
        <v>24</v>
      </c>
      <c r="G349" s="1">
        <v>14137.61</v>
      </c>
      <c r="H349" s="1" t="s">
        <v>21</v>
      </c>
      <c r="I349" s="1">
        <v>989.63</v>
      </c>
      <c r="J349" s="1">
        <f t="shared" si="1"/>
        <v>15127.24</v>
      </c>
      <c r="K349" s="1" t="b">
        <v>1</v>
      </c>
      <c r="L349" s="3">
        <v>45783.0</v>
      </c>
      <c r="M349" s="1">
        <v>15127.24</v>
      </c>
      <c r="N349" s="1" t="b">
        <f t="shared" si="2"/>
        <v>0</v>
      </c>
      <c r="O349" s="1" t="b">
        <f t="shared" si="3"/>
        <v>0</v>
      </c>
      <c r="P349" s="1" t="str">
        <f t="shared" si="4"/>
        <v>BrightPower Partners|-15127.24</v>
      </c>
      <c r="Q349" s="1" t="str">
        <f t="shared" si="5"/>
        <v>Paid but No Bank Match</v>
      </c>
    </row>
    <row r="350">
      <c r="A350" s="1" t="s">
        <v>393</v>
      </c>
      <c r="B350" s="1" t="s">
        <v>40</v>
      </c>
      <c r="C350" s="3">
        <v>45809.0</v>
      </c>
      <c r="D350" s="3">
        <v>45854.0</v>
      </c>
      <c r="E350" s="1" t="s">
        <v>50</v>
      </c>
      <c r="F350" s="1" t="s">
        <v>47</v>
      </c>
      <c r="G350" s="1">
        <v>10881.59</v>
      </c>
      <c r="H350" s="1" t="s">
        <v>34</v>
      </c>
      <c r="I350" s="1">
        <v>816.12</v>
      </c>
      <c r="J350" s="1">
        <f t="shared" si="1"/>
        <v>11697.71</v>
      </c>
      <c r="K350" s="1" t="b">
        <v>1</v>
      </c>
      <c r="L350" s="3">
        <v>45831.0</v>
      </c>
      <c r="M350" s="1">
        <v>11697.71</v>
      </c>
      <c r="N350" s="1" t="b">
        <f t="shared" si="2"/>
        <v>0</v>
      </c>
      <c r="O350" s="1" t="b">
        <f t="shared" si="3"/>
        <v>0</v>
      </c>
      <c r="P350" s="1" t="str">
        <f t="shared" si="4"/>
        <v>Gulf Coast Telecom|-11697.71</v>
      </c>
      <c r="Q350" s="1" t="str">
        <f t="shared" si="5"/>
        <v>Paid but No Bank Match</v>
      </c>
    </row>
    <row r="351">
      <c r="A351" s="1" t="s">
        <v>394</v>
      </c>
      <c r="B351" s="1" t="s">
        <v>18</v>
      </c>
      <c r="C351" s="3">
        <v>45821.0</v>
      </c>
      <c r="D351" s="3">
        <v>45866.0</v>
      </c>
      <c r="E351" s="1" t="s">
        <v>37</v>
      </c>
      <c r="F351" s="1" t="s">
        <v>24</v>
      </c>
      <c r="G351" s="1">
        <v>10886.65</v>
      </c>
      <c r="H351" s="1" t="s">
        <v>45</v>
      </c>
      <c r="I351" s="1">
        <v>707.63</v>
      </c>
      <c r="J351" s="1">
        <f t="shared" si="1"/>
        <v>11594.28</v>
      </c>
      <c r="K351" s="1" t="b">
        <v>1</v>
      </c>
      <c r="L351" s="3">
        <v>45874.0</v>
      </c>
      <c r="M351" s="1">
        <v>11594.28</v>
      </c>
      <c r="N351" s="1" t="b">
        <f t="shared" si="2"/>
        <v>0</v>
      </c>
      <c r="O351" s="1" t="b">
        <f t="shared" si="3"/>
        <v>0</v>
      </c>
      <c r="P351" s="1" t="str">
        <f t="shared" si="4"/>
        <v>Tri-County Services|-11594.28</v>
      </c>
      <c r="Q351" s="1" t="str">
        <f t="shared" si="5"/>
        <v>Paid but No Bank Match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395</v>
      </c>
      <c r="B1" s="2" t="s">
        <v>396</v>
      </c>
      <c r="C1" s="2" t="s">
        <v>1</v>
      </c>
      <c r="D1" s="2" t="s">
        <v>397</v>
      </c>
      <c r="E1" s="5" t="s">
        <v>398</v>
      </c>
      <c r="F1" s="2" t="s">
        <v>399</v>
      </c>
      <c r="G1" s="2" t="s">
        <v>400</v>
      </c>
      <c r="H1" s="2" t="s">
        <v>401</v>
      </c>
      <c r="I1" s="2" t="s">
        <v>402</v>
      </c>
      <c r="J1" s="2" t="s">
        <v>403</v>
      </c>
    </row>
    <row r="2">
      <c r="A2" s="2" t="s">
        <v>404</v>
      </c>
      <c r="B2" s="6" t="s">
        <v>405</v>
      </c>
      <c r="C2" s="2" t="s">
        <v>18</v>
      </c>
      <c r="D2" s="2" t="s">
        <v>406</v>
      </c>
      <c r="E2" s="5">
        <v>-5343.74</v>
      </c>
      <c r="F2" s="2" t="s">
        <v>407</v>
      </c>
      <c r="G2" s="6" t="s">
        <v>408</v>
      </c>
      <c r="H2" s="7" t="str">
        <f t="shared" ref="H2:H284" si="1">C2 &amp; "|" &amp; E2
</f>
        <v>Tri-County Services|-5343.74</v>
      </c>
      <c r="I2" s="7">
        <f t="shared" ref="I2:I284" si="2">COUNTIF(H:H, H2)
</f>
        <v>1</v>
      </c>
      <c r="J2" s="7" t="str">
        <f t="shared" ref="J2:J284" si="3">IF(I2&gt;1, "Duplicate Payment", "OK")
</f>
        <v>OK</v>
      </c>
    </row>
    <row r="3">
      <c r="A3" s="2" t="s">
        <v>409</v>
      </c>
      <c r="B3" s="6" t="s">
        <v>410</v>
      </c>
      <c r="C3" s="2" t="s">
        <v>23</v>
      </c>
      <c r="D3" s="2" t="s">
        <v>411</v>
      </c>
      <c r="E3" s="5">
        <v>-3126.35</v>
      </c>
      <c r="F3" s="2" t="s">
        <v>407</v>
      </c>
      <c r="G3" s="6" t="s">
        <v>408</v>
      </c>
      <c r="H3" s="7" t="str">
        <f t="shared" si="1"/>
        <v>Atlantic Fiber Co|-3126.35</v>
      </c>
      <c r="I3" s="7">
        <f t="shared" si="2"/>
        <v>1</v>
      </c>
      <c r="J3" s="7" t="str">
        <f t="shared" si="3"/>
        <v>OK</v>
      </c>
    </row>
    <row r="4">
      <c r="A4" s="2" t="s">
        <v>412</v>
      </c>
      <c r="B4" s="6" t="s">
        <v>413</v>
      </c>
      <c r="C4" s="2" t="s">
        <v>27</v>
      </c>
      <c r="D4" s="2" t="s">
        <v>414</v>
      </c>
      <c r="E4" s="5">
        <v>-25961.19</v>
      </c>
      <c r="F4" s="2" t="s">
        <v>415</v>
      </c>
      <c r="G4" s="6" t="s">
        <v>408</v>
      </c>
      <c r="H4" s="7" t="str">
        <f t="shared" si="1"/>
        <v>Sunline Electrical|-25961.19</v>
      </c>
      <c r="I4" s="7">
        <f t="shared" si="2"/>
        <v>1</v>
      </c>
      <c r="J4" s="7" t="str">
        <f t="shared" si="3"/>
        <v>OK</v>
      </c>
    </row>
    <row r="5">
      <c r="A5" s="2" t="s">
        <v>416</v>
      </c>
      <c r="B5" s="6" t="s">
        <v>417</v>
      </c>
      <c r="C5" s="2" t="s">
        <v>30</v>
      </c>
      <c r="D5" s="2" t="s">
        <v>418</v>
      </c>
      <c r="E5" s="5">
        <v>-16566.0</v>
      </c>
      <c r="F5" s="2" t="s">
        <v>415</v>
      </c>
      <c r="G5" s="6" t="s">
        <v>408</v>
      </c>
      <c r="H5" s="7" t="str">
        <f t="shared" si="1"/>
        <v>Tidal Contractors|-16566</v>
      </c>
      <c r="I5" s="7">
        <f t="shared" si="2"/>
        <v>1</v>
      </c>
      <c r="J5" s="7" t="str">
        <f t="shared" si="3"/>
        <v>OK</v>
      </c>
    </row>
    <row r="6">
      <c r="A6" s="2" t="s">
        <v>419</v>
      </c>
      <c r="B6" s="6" t="s">
        <v>420</v>
      </c>
      <c r="C6" s="2" t="s">
        <v>36</v>
      </c>
      <c r="D6" s="2" t="s">
        <v>421</v>
      </c>
      <c r="E6" s="5">
        <v>-21118.39</v>
      </c>
      <c r="F6" s="2" t="s">
        <v>415</v>
      </c>
      <c r="G6" s="6" t="s">
        <v>408</v>
      </c>
      <c r="H6" s="7" t="str">
        <f t="shared" si="1"/>
        <v>Tampa Grid Services|-21118.39</v>
      </c>
      <c r="I6" s="7">
        <f t="shared" si="2"/>
        <v>1</v>
      </c>
      <c r="J6" s="7" t="str">
        <f t="shared" si="3"/>
        <v>OK</v>
      </c>
    </row>
    <row r="7">
      <c r="A7" s="2" t="s">
        <v>422</v>
      </c>
      <c r="B7" s="6" t="s">
        <v>423</v>
      </c>
      <c r="C7" s="2" t="s">
        <v>23</v>
      </c>
      <c r="D7" s="2" t="s">
        <v>424</v>
      </c>
      <c r="E7" s="5">
        <v>-1736.32</v>
      </c>
      <c r="F7" s="2" t="s">
        <v>407</v>
      </c>
      <c r="G7" s="6" t="s">
        <v>408</v>
      </c>
      <c r="H7" s="7" t="str">
        <f t="shared" si="1"/>
        <v>Atlantic Fiber Co|-1736.32</v>
      </c>
      <c r="I7" s="7">
        <f t="shared" si="2"/>
        <v>1</v>
      </c>
      <c r="J7" s="7" t="str">
        <f t="shared" si="3"/>
        <v>OK</v>
      </c>
    </row>
    <row r="8">
      <c r="A8" s="2" t="s">
        <v>425</v>
      </c>
      <c r="B8" s="6" t="s">
        <v>426</v>
      </c>
      <c r="C8" s="2" t="s">
        <v>42</v>
      </c>
      <c r="D8" s="2" t="s">
        <v>427</v>
      </c>
      <c r="E8" s="5">
        <v>-944.64</v>
      </c>
      <c r="F8" s="2" t="s">
        <v>407</v>
      </c>
      <c r="G8" s="6" t="s">
        <v>408</v>
      </c>
      <c r="H8" s="7" t="str">
        <f t="shared" si="1"/>
        <v>BrightPower Partners|-944.64</v>
      </c>
      <c r="I8" s="7">
        <f t="shared" si="2"/>
        <v>1</v>
      </c>
      <c r="J8" s="7" t="str">
        <f t="shared" si="3"/>
        <v>OK</v>
      </c>
    </row>
    <row r="9">
      <c r="A9" s="2" t="s">
        <v>428</v>
      </c>
      <c r="B9" s="6" t="s">
        <v>429</v>
      </c>
      <c r="C9" s="2" t="s">
        <v>40</v>
      </c>
      <c r="D9" s="2" t="s">
        <v>430</v>
      </c>
      <c r="E9" s="5">
        <v>-24372.83</v>
      </c>
      <c r="F9" s="2" t="s">
        <v>407</v>
      </c>
      <c r="G9" s="6" t="s">
        <v>408</v>
      </c>
      <c r="H9" s="7" t="str">
        <f t="shared" si="1"/>
        <v>Gulf Coast Telecom|-24372.83</v>
      </c>
      <c r="I9" s="7">
        <f t="shared" si="2"/>
        <v>1</v>
      </c>
      <c r="J9" s="7" t="str">
        <f t="shared" si="3"/>
        <v>OK</v>
      </c>
    </row>
    <row r="10">
      <c r="A10" s="2" t="s">
        <v>431</v>
      </c>
      <c r="B10" s="6" t="s">
        <v>432</v>
      </c>
      <c r="C10" s="2" t="s">
        <v>42</v>
      </c>
      <c r="D10" s="2" t="s">
        <v>433</v>
      </c>
      <c r="E10" s="5">
        <v>-5958.22</v>
      </c>
      <c r="F10" s="2" t="s">
        <v>407</v>
      </c>
      <c r="G10" s="6" t="s">
        <v>408</v>
      </c>
      <c r="H10" s="7" t="str">
        <f t="shared" si="1"/>
        <v>BrightPower Partners|-5958.22</v>
      </c>
      <c r="I10" s="7">
        <f t="shared" si="2"/>
        <v>1</v>
      </c>
      <c r="J10" s="7" t="str">
        <f t="shared" si="3"/>
        <v>OK</v>
      </c>
    </row>
    <row r="11">
      <c r="A11" s="2" t="s">
        <v>434</v>
      </c>
      <c r="B11" s="6" t="s">
        <v>435</v>
      </c>
      <c r="C11" s="2" t="s">
        <v>23</v>
      </c>
      <c r="D11" s="2" t="s">
        <v>436</v>
      </c>
      <c r="E11" s="5">
        <v>-20125.99</v>
      </c>
      <c r="F11" s="2" t="s">
        <v>407</v>
      </c>
      <c r="G11" s="6" t="s">
        <v>408</v>
      </c>
      <c r="H11" s="7" t="str">
        <f t="shared" si="1"/>
        <v>Atlantic Fiber Co|-20125.99</v>
      </c>
      <c r="I11" s="7">
        <f t="shared" si="2"/>
        <v>1</v>
      </c>
      <c r="J11" s="7" t="str">
        <f t="shared" si="3"/>
        <v>OK</v>
      </c>
    </row>
    <row r="12">
      <c r="A12" s="2" t="s">
        <v>437</v>
      </c>
      <c r="B12" s="6" t="s">
        <v>438</v>
      </c>
      <c r="C12" s="2" t="s">
        <v>36</v>
      </c>
      <c r="D12" s="2" t="s">
        <v>439</v>
      </c>
      <c r="E12" s="5">
        <v>-14761.77</v>
      </c>
      <c r="F12" s="2" t="s">
        <v>415</v>
      </c>
      <c r="G12" s="6" t="s">
        <v>408</v>
      </c>
      <c r="H12" s="7" t="str">
        <f t="shared" si="1"/>
        <v>Tampa Grid Services|-14761.77</v>
      </c>
      <c r="I12" s="7">
        <f t="shared" si="2"/>
        <v>1</v>
      </c>
      <c r="J12" s="7" t="str">
        <f t="shared" si="3"/>
        <v>OK</v>
      </c>
    </row>
    <row r="13">
      <c r="A13" s="2" t="s">
        <v>440</v>
      </c>
      <c r="B13" s="6" t="s">
        <v>441</v>
      </c>
      <c r="C13" s="2" t="s">
        <v>18</v>
      </c>
      <c r="D13" s="2" t="s">
        <v>442</v>
      </c>
      <c r="E13" s="5">
        <v>-28380.53</v>
      </c>
      <c r="F13" s="2" t="s">
        <v>415</v>
      </c>
      <c r="G13" s="6" t="s">
        <v>408</v>
      </c>
      <c r="H13" s="7" t="str">
        <f t="shared" si="1"/>
        <v>Tri-County Services|-28380.53</v>
      </c>
      <c r="I13" s="7">
        <f t="shared" si="2"/>
        <v>1</v>
      </c>
      <c r="J13" s="7" t="str">
        <f t="shared" si="3"/>
        <v>OK</v>
      </c>
    </row>
    <row r="14">
      <c r="A14" s="2" t="s">
        <v>443</v>
      </c>
      <c r="B14" s="6" t="s">
        <v>444</v>
      </c>
      <c r="C14" s="2" t="s">
        <v>57</v>
      </c>
      <c r="D14" s="2" t="s">
        <v>445</v>
      </c>
      <c r="E14" s="5">
        <v>-19065.26</v>
      </c>
      <c r="F14" s="2" t="s">
        <v>407</v>
      </c>
      <c r="G14" s="6" t="s">
        <v>408</v>
      </c>
      <c r="H14" s="7" t="str">
        <f t="shared" si="1"/>
        <v>Florida Line Crew LLC|-19065.26</v>
      </c>
      <c r="I14" s="7">
        <f t="shared" si="2"/>
        <v>1</v>
      </c>
      <c r="J14" s="7" t="str">
        <f t="shared" si="3"/>
        <v>OK</v>
      </c>
    </row>
    <row r="15">
      <c r="A15" s="2" t="s">
        <v>446</v>
      </c>
      <c r="B15" s="6" t="s">
        <v>447</v>
      </c>
      <c r="C15" s="2" t="s">
        <v>62</v>
      </c>
      <c r="D15" s="2" t="s">
        <v>448</v>
      </c>
      <c r="E15" s="5">
        <v>-9209.49</v>
      </c>
      <c r="F15" s="2" t="s">
        <v>415</v>
      </c>
      <c r="G15" s="6" t="s">
        <v>408</v>
      </c>
      <c r="H15" s="7" t="str">
        <f t="shared" si="1"/>
        <v>Bay Area Rentals|-9209.49</v>
      </c>
      <c r="I15" s="7">
        <f t="shared" si="2"/>
        <v>1</v>
      </c>
      <c r="J15" s="7" t="str">
        <f t="shared" si="3"/>
        <v>OK</v>
      </c>
    </row>
    <row r="16">
      <c r="A16" s="2" t="s">
        <v>449</v>
      </c>
      <c r="B16" s="6" t="s">
        <v>450</v>
      </c>
      <c r="C16" s="2" t="s">
        <v>23</v>
      </c>
      <c r="D16" s="2" t="s">
        <v>451</v>
      </c>
      <c r="E16" s="5">
        <v>-19477.87</v>
      </c>
      <c r="F16" s="2" t="s">
        <v>407</v>
      </c>
      <c r="G16" s="6" t="s">
        <v>408</v>
      </c>
      <c r="H16" s="7" t="str">
        <f t="shared" si="1"/>
        <v>Atlantic Fiber Co|-19477.87</v>
      </c>
      <c r="I16" s="7">
        <f t="shared" si="2"/>
        <v>1</v>
      </c>
      <c r="J16" s="7" t="str">
        <f t="shared" si="3"/>
        <v>OK</v>
      </c>
    </row>
    <row r="17">
      <c r="A17" s="2" t="s">
        <v>452</v>
      </c>
      <c r="B17" s="6" t="s">
        <v>417</v>
      </c>
      <c r="C17" s="2" t="s">
        <v>57</v>
      </c>
      <c r="D17" s="2" t="s">
        <v>453</v>
      </c>
      <c r="E17" s="5">
        <v>-19322.59</v>
      </c>
      <c r="F17" s="2" t="s">
        <v>407</v>
      </c>
      <c r="G17" s="6" t="s">
        <v>408</v>
      </c>
      <c r="H17" s="7" t="str">
        <f t="shared" si="1"/>
        <v>Florida Line Crew LLC|-19322.59</v>
      </c>
      <c r="I17" s="7">
        <f t="shared" si="2"/>
        <v>1</v>
      </c>
      <c r="J17" s="7" t="str">
        <f t="shared" si="3"/>
        <v>OK</v>
      </c>
    </row>
    <row r="18">
      <c r="A18" s="2" t="s">
        <v>454</v>
      </c>
      <c r="B18" s="6" t="s">
        <v>455</v>
      </c>
      <c r="C18" s="2" t="s">
        <v>59</v>
      </c>
      <c r="D18" s="2" t="s">
        <v>456</v>
      </c>
      <c r="E18" s="5">
        <v>-12875.36</v>
      </c>
      <c r="F18" s="2" t="s">
        <v>407</v>
      </c>
      <c r="G18" s="6" t="s">
        <v>408</v>
      </c>
      <c r="H18" s="7" t="str">
        <f t="shared" si="1"/>
        <v>Skyline Engineering|-12875.36</v>
      </c>
      <c r="I18" s="7">
        <f t="shared" si="2"/>
        <v>1</v>
      </c>
      <c r="J18" s="7" t="str">
        <f t="shared" si="3"/>
        <v>OK</v>
      </c>
    </row>
    <row r="19">
      <c r="A19" s="2" t="s">
        <v>457</v>
      </c>
      <c r="B19" s="6" t="s">
        <v>458</v>
      </c>
      <c r="C19" s="2" t="s">
        <v>30</v>
      </c>
      <c r="D19" s="2" t="s">
        <v>459</v>
      </c>
      <c r="E19" s="5">
        <v>-16456.35</v>
      </c>
      <c r="F19" s="2" t="s">
        <v>415</v>
      </c>
      <c r="G19" s="6" t="s">
        <v>408</v>
      </c>
      <c r="H19" s="7" t="str">
        <f t="shared" si="1"/>
        <v>Tidal Contractors|-16456.35</v>
      </c>
      <c r="I19" s="7">
        <f t="shared" si="2"/>
        <v>1</v>
      </c>
      <c r="J19" s="7" t="str">
        <f t="shared" si="3"/>
        <v>OK</v>
      </c>
    </row>
    <row r="20">
      <c r="A20" s="2" t="s">
        <v>460</v>
      </c>
      <c r="B20" s="6" t="s">
        <v>461</v>
      </c>
      <c r="C20" s="2" t="s">
        <v>18</v>
      </c>
      <c r="D20" s="2" t="s">
        <v>462</v>
      </c>
      <c r="E20" s="5">
        <v>-16158.39</v>
      </c>
      <c r="F20" s="2" t="s">
        <v>415</v>
      </c>
      <c r="G20" s="6" t="s">
        <v>408</v>
      </c>
      <c r="H20" s="7" t="str">
        <f t="shared" si="1"/>
        <v>Tri-County Services|-16158.39</v>
      </c>
      <c r="I20" s="7">
        <f t="shared" si="2"/>
        <v>1</v>
      </c>
      <c r="J20" s="7" t="str">
        <f t="shared" si="3"/>
        <v>OK</v>
      </c>
    </row>
    <row r="21">
      <c r="A21" s="2" t="s">
        <v>463</v>
      </c>
      <c r="B21" s="6" t="s">
        <v>464</v>
      </c>
      <c r="C21" s="2" t="s">
        <v>62</v>
      </c>
      <c r="D21" s="2" t="s">
        <v>465</v>
      </c>
      <c r="E21" s="5">
        <v>-8246.33</v>
      </c>
      <c r="F21" s="2" t="s">
        <v>415</v>
      </c>
      <c r="G21" s="6" t="s">
        <v>408</v>
      </c>
      <c r="H21" s="7" t="str">
        <f t="shared" si="1"/>
        <v>Bay Area Rentals|-8246.33</v>
      </c>
      <c r="I21" s="7">
        <f t="shared" si="2"/>
        <v>1</v>
      </c>
      <c r="J21" s="7" t="str">
        <f t="shared" si="3"/>
        <v>OK</v>
      </c>
    </row>
    <row r="22">
      <c r="A22" s="2" t="s">
        <v>466</v>
      </c>
      <c r="B22" s="6" t="s">
        <v>467</v>
      </c>
      <c r="C22" s="2" t="s">
        <v>18</v>
      </c>
      <c r="D22" s="2" t="s">
        <v>468</v>
      </c>
      <c r="E22" s="5">
        <v>-24026.04</v>
      </c>
      <c r="F22" s="2" t="s">
        <v>407</v>
      </c>
      <c r="G22" s="6" t="s">
        <v>408</v>
      </c>
      <c r="H22" s="7" t="str">
        <f t="shared" si="1"/>
        <v>Tri-County Services|-24026.04</v>
      </c>
      <c r="I22" s="7">
        <f t="shared" si="2"/>
        <v>1</v>
      </c>
      <c r="J22" s="7" t="str">
        <f t="shared" si="3"/>
        <v>OK</v>
      </c>
    </row>
    <row r="23">
      <c r="A23" s="2" t="s">
        <v>469</v>
      </c>
      <c r="B23" s="6" t="s">
        <v>470</v>
      </c>
      <c r="C23" s="2" t="s">
        <v>27</v>
      </c>
      <c r="D23" s="2" t="s">
        <v>471</v>
      </c>
      <c r="E23" s="5">
        <v>-25371.39</v>
      </c>
      <c r="F23" s="2" t="s">
        <v>415</v>
      </c>
      <c r="G23" s="6" t="s">
        <v>408</v>
      </c>
      <c r="H23" s="7" t="str">
        <f t="shared" si="1"/>
        <v>Sunline Electrical|-25371.39</v>
      </c>
      <c r="I23" s="7">
        <f t="shared" si="2"/>
        <v>1</v>
      </c>
      <c r="J23" s="7" t="str">
        <f t="shared" si="3"/>
        <v>OK</v>
      </c>
    </row>
    <row r="24">
      <c r="A24" s="2" t="s">
        <v>472</v>
      </c>
      <c r="B24" s="6" t="s">
        <v>473</v>
      </c>
      <c r="C24" s="2" t="s">
        <v>42</v>
      </c>
      <c r="D24" s="2" t="s">
        <v>474</v>
      </c>
      <c r="E24" s="5">
        <v>-7191.4</v>
      </c>
      <c r="F24" s="2" t="s">
        <v>415</v>
      </c>
      <c r="G24" s="6" t="s">
        <v>408</v>
      </c>
      <c r="H24" s="7" t="str">
        <f t="shared" si="1"/>
        <v>BrightPower Partners|-7191.4</v>
      </c>
      <c r="I24" s="7">
        <f t="shared" si="2"/>
        <v>1</v>
      </c>
      <c r="J24" s="7" t="str">
        <f t="shared" si="3"/>
        <v>OK</v>
      </c>
    </row>
    <row r="25">
      <c r="A25" s="2" t="s">
        <v>475</v>
      </c>
      <c r="B25" s="6" t="s">
        <v>476</v>
      </c>
      <c r="C25" s="2" t="s">
        <v>18</v>
      </c>
      <c r="D25" s="2" t="s">
        <v>477</v>
      </c>
      <c r="E25" s="5">
        <v>-26566.04</v>
      </c>
      <c r="F25" s="2" t="s">
        <v>415</v>
      </c>
      <c r="G25" s="6" t="s">
        <v>408</v>
      </c>
      <c r="H25" s="7" t="str">
        <f t="shared" si="1"/>
        <v>Tri-County Services|-26566.04</v>
      </c>
      <c r="I25" s="7">
        <f t="shared" si="2"/>
        <v>1</v>
      </c>
      <c r="J25" s="7" t="str">
        <f t="shared" si="3"/>
        <v>OK</v>
      </c>
    </row>
    <row r="26">
      <c r="A26" s="2" t="s">
        <v>478</v>
      </c>
      <c r="B26" s="6" t="s">
        <v>479</v>
      </c>
      <c r="C26" s="2" t="s">
        <v>30</v>
      </c>
      <c r="D26" s="2" t="s">
        <v>480</v>
      </c>
      <c r="E26" s="5">
        <v>-1394.87</v>
      </c>
      <c r="F26" s="2" t="s">
        <v>407</v>
      </c>
      <c r="G26" s="6" t="s">
        <v>408</v>
      </c>
      <c r="H26" s="7" t="str">
        <f t="shared" si="1"/>
        <v>Tidal Contractors|-1394.87</v>
      </c>
      <c r="I26" s="7">
        <f t="shared" si="2"/>
        <v>2</v>
      </c>
      <c r="J26" s="7" t="str">
        <f t="shared" si="3"/>
        <v>Duplicate Payment</v>
      </c>
    </row>
    <row r="27">
      <c r="A27" s="2" t="s">
        <v>481</v>
      </c>
      <c r="B27" s="6" t="s">
        <v>482</v>
      </c>
      <c r="C27" s="2" t="s">
        <v>30</v>
      </c>
      <c r="D27" s="2" t="s">
        <v>483</v>
      </c>
      <c r="E27" s="5">
        <v>-1394.87</v>
      </c>
      <c r="F27" s="2" t="s">
        <v>415</v>
      </c>
      <c r="G27" s="6" t="s">
        <v>408</v>
      </c>
      <c r="H27" s="7" t="str">
        <f t="shared" si="1"/>
        <v>Tidal Contractors|-1394.87</v>
      </c>
      <c r="I27" s="7">
        <f t="shared" si="2"/>
        <v>2</v>
      </c>
      <c r="J27" s="7" t="str">
        <f t="shared" si="3"/>
        <v>Duplicate Payment</v>
      </c>
    </row>
    <row r="28">
      <c r="A28" s="2" t="s">
        <v>484</v>
      </c>
      <c r="B28" s="6" t="s">
        <v>485</v>
      </c>
      <c r="C28" s="2" t="s">
        <v>23</v>
      </c>
      <c r="D28" s="2" t="s">
        <v>486</v>
      </c>
      <c r="E28" s="5">
        <v>-20596.66</v>
      </c>
      <c r="F28" s="2" t="s">
        <v>415</v>
      </c>
      <c r="G28" s="6" t="s">
        <v>408</v>
      </c>
      <c r="H28" s="7" t="str">
        <f t="shared" si="1"/>
        <v>Atlantic Fiber Co|-20596.66</v>
      </c>
      <c r="I28" s="7">
        <f t="shared" si="2"/>
        <v>1</v>
      </c>
      <c r="J28" s="7" t="str">
        <f t="shared" si="3"/>
        <v>OK</v>
      </c>
    </row>
    <row r="29">
      <c r="A29" s="2" t="s">
        <v>487</v>
      </c>
      <c r="B29" s="6" t="s">
        <v>488</v>
      </c>
      <c r="C29" s="2" t="s">
        <v>59</v>
      </c>
      <c r="D29" s="2" t="s">
        <v>489</v>
      </c>
      <c r="E29" s="5">
        <v>-26438.41</v>
      </c>
      <c r="F29" s="2" t="s">
        <v>407</v>
      </c>
      <c r="G29" s="6" t="s">
        <v>408</v>
      </c>
      <c r="H29" s="7" t="str">
        <f t="shared" si="1"/>
        <v>Skyline Engineering|-26438.41</v>
      </c>
      <c r="I29" s="7">
        <f t="shared" si="2"/>
        <v>1</v>
      </c>
      <c r="J29" s="7" t="str">
        <f t="shared" si="3"/>
        <v>OK</v>
      </c>
    </row>
    <row r="30">
      <c r="A30" s="2" t="s">
        <v>490</v>
      </c>
      <c r="B30" s="6" t="s">
        <v>491</v>
      </c>
      <c r="C30" s="2" t="s">
        <v>40</v>
      </c>
      <c r="D30" s="2" t="s">
        <v>492</v>
      </c>
      <c r="E30" s="5">
        <v>-13922.19</v>
      </c>
      <c r="F30" s="2" t="s">
        <v>415</v>
      </c>
      <c r="G30" s="6" t="s">
        <v>408</v>
      </c>
      <c r="H30" s="7" t="str">
        <f t="shared" si="1"/>
        <v>Gulf Coast Telecom|-13922.19</v>
      </c>
      <c r="I30" s="7">
        <f t="shared" si="2"/>
        <v>1</v>
      </c>
      <c r="J30" s="7" t="str">
        <f t="shared" si="3"/>
        <v>OK</v>
      </c>
    </row>
    <row r="31">
      <c r="A31" s="2" t="s">
        <v>493</v>
      </c>
      <c r="B31" s="6" t="s">
        <v>494</v>
      </c>
      <c r="C31" s="2" t="s">
        <v>57</v>
      </c>
      <c r="D31" s="2" t="s">
        <v>495</v>
      </c>
      <c r="E31" s="5">
        <v>-6279.14</v>
      </c>
      <c r="F31" s="2" t="s">
        <v>407</v>
      </c>
      <c r="G31" s="6" t="s">
        <v>408</v>
      </c>
      <c r="H31" s="7" t="str">
        <f t="shared" si="1"/>
        <v>Florida Line Crew LLC|-6279.14</v>
      </c>
      <c r="I31" s="7">
        <f t="shared" si="2"/>
        <v>1</v>
      </c>
      <c r="J31" s="7" t="str">
        <f t="shared" si="3"/>
        <v>OK</v>
      </c>
    </row>
    <row r="32">
      <c r="A32" s="2" t="s">
        <v>496</v>
      </c>
      <c r="B32" s="6" t="s">
        <v>497</v>
      </c>
      <c r="C32" s="2" t="s">
        <v>18</v>
      </c>
      <c r="D32" s="2" t="s">
        <v>498</v>
      </c>
      <c r="E32" s="5">
        <v>-5058.3</v>
      </c>
      <c r="F32" s="2" t="s">
        <v>407</v>
      </c>
      <c r="G32" s="6" t="s">
        <v>408</v>
      </c>
      <c r="H32" s="7" t="str">
        <f t="shared" si="1"/>
        <v>Tri-County Services|-5058.3</v>
      </c>
      <c r="I32" s="7">
        <f t="shared" si="2"/>
        <v>1</v>
      </c>
      <c r="J32" s="7" t="str">
        <f t="shared" si="3"/>
        <v>OK</v>
      </c>
    </row>
    <row r="33">
      <c r="A33" s="2" t="s">
        <v>499</v>
      </c>
      <c r="B33" s="6" t="s">
        <v>494</v>
      </c>
      <c r="C33" s="2" t="s">
        <v>40</v>
      </c>
      <c r="D33" s="2" t="s">
        <v>500</v>
      </c>
      <c r="E33" s="5">
        <v>-18599.52</v>
      </c>
      <c r="F33" s="2" t="s">
        <v>415</v>
      </c>
      <c r="G33" s="6" t="s">
        <v>408</v>
      </c>
      <c r="H33" s="7" t="str">
        <f t="shared" si="1"/>
        <v>Gulf Coast Telecom|-18599.52</v>
      </c>
      <c r="I33" s="7">
        <f t="shared" si="2"/>
        <v>1</v>
      </c>
      <c r="J33" s="7" t="str">
        <f t="shared" si="3"/>
        <v>OK</v>
      </c>
    </row>
    <row r="34">
      <c r="A34" s="2" t="s">
        <v>501</v>
      </c>
      <c r="B34" s="6" t="s">
        <v>502</v>
      </c>
      <c r="C34" s="2" t="s">
        <v>49</v>
      </c>
      <c r="D34" s="2" t="s">
        <v>503</v>
      </c>
      <c r="E34" s="5">
        <v>-13947.03</v>
      </c>
      <c r="F34" s="2" t="s">
        <v>407</v>
      </c>
      <c r="G34" s="6" t="s">
        <v>408</v>
      </c>
      <c r="H34" s="7" t="str">
        <f t="shared" si="1"/>
        <v>Sunshine Equipment|-13947.03</v>
      </c>
      <c r="I34" s="7">
        <f t="shared" si="2"/>
        <v>1</v>
      </c>
      <c r="J34" s="7" t="str">
        <f t="shared" si="3"/>
        <v>OK</v>
      </c>
    </row>
    <row r="35">
      <c r="A35" s="2" t="s">
        <v>504</v>
      </c>
      <c r="B35" s="6" t="s">
        <v>505</v>
      </c>
      <c r="C35" s="2" t="s">
        <v>23</v>
      </c>
      <c r="D35" s="2" t="s">
        <v>506</v>
      </c>
      <c r="E35" s="5">
        <v>-19881.16</v>
      </c>
      <c r="F35" s="2" t="s">
        <v>415</v>
      </c>
      <c r="G35" s="6" t="s">
        <v>408</v>
      </c>
      <c r="H35" s="7" t="str">
        <f t="shared" si="1"/>
        <v>Atlantic Fiber Co|-19881.16</v>
      </c>
      <c r="I35" s="7">
        <f t="shared" si="2"/>
        <v>1</v>
      </c>
      <c r="J35" s="7" t="str">
        <f t="shared" si="3"/>
        <v>OK</v>
      </c>
    </row>
    <row r="36">
      <c r="A36" s="2" t="s">
        <v>507</v>
      </c>
      <c r="B36" s="6" t="s">
        <v>508</v>
      </c>
      <c r="C36" s="2" t="s">
        <v>30</v>
      </c>
      <c r="D36" s="2" t="s">
        <v>509</v>
      </c>
      <c r="E36" s="5">
        <v>-24203.17</v>
      </c>
      <c r="F36" s="2" t="s">
        <v>407</v>
      </c>
      <c r="G36" s="6" t="s">
        <v>408</v>
      </c>
      <c r="H36" s="7" t="str">
        <f t="shared" si="1"/>
        <v>Tidal Contractors|-24203.17</v>
      </c>
      <c r="I36" s="7">
        <f t="shared" si="2"/>
        <v>1</v>
      </c>
      <c r="J36" s="7" t="str">
        <f t="shared" si="3"/>
        <v>OK</v>
      </c>
    </row>
    <row r="37">
      <c r="A37" s="2" t="s">
        <v>510</v>
      </c>
      <c r="B37" s="6" t="s">
        <v>511</v>
      </c>
      <c r="C37" s="2" t="s">
        <v>23</v>
      </c>
      <c r="D37" s="2" t="s">
        <v>512</v>
      </c>
      <c r="E37" s="5">
        <v>-5098.78</v>
      </c>
      <c r="F37" s="2" t="s">
        <v>415</v>
      </c>
      <c r="G37" s="6" t="s">
        <v>408</v>
      </c>
      <c r="H37" s="7" t="str">
        <f t="shared" si="1"/>
        <v>Atlantic Fiber Co|-5098.78</v>
      </c>
      <c r="I37" s="7">
        <f t="shared" si="2"/>
        <v>1</v>
      </c>
      <c r="J37" s="7" t="str">
        <f t="shared" si="3"/>
        <v>OK</v>
      </c>
    </row>
    <row r="38">
      <c r="A38" s="2" t="s">
        <v>513</v>
      </c>
      <c r="B38" s="6" t="s">
        <v>514</v>
      </c>
      <c r="C38" s="2" t="s">
        <v>27</v>
      </c>
      <c r="D38" s="2" t="s">
        <v>515</v>
      </c>
      <c r="E38" s="5">
        <v>-10094.59</v>
      </c>
      <c r="F38" s="2" t="s">
        <v>407</v>
      </c>
      <c r="G38" s="6" t="s">
        <v>408</v>
      </c>
      <c r="H38" s="7" t="str">
        <f t="shared" si="1"/>
        <v>Sunline Electrical|-10094.59</v>
      </c>
      <c r="I38" s="7">
        <f t="shared" si="2"/>
        <v>1</v>
      </c>
      <c r="J38" s="7" t="str">
        <f t="shared" si="3"/>
        <v>OK</v>
      </c>
    </row>
    <row r="39">
      <c r="A39" s="2" t="s">
        <v>516</v>
      </c>
      <c r="B39" s="6" t="s">
        <v>517</v>
      </c>
      <c r="C39" s="2" t="s">
        <v>62</v>
      </c>
      <c r="D39" s="2" t="s">
        <v>518</v>
      </c>
      <c r="E39" s="5">
        <v>-2976.71</v>
      </c>
      <c r="F39" s="2" t="s">
        <v>415</v>
      </c>
      <c r="G39" s="6" t="s">
        <v>408</v>
      </c>
      <c r="H39" s="7" t="str">
        <f t="shared" si="1"/>
        <v>Bay Area Rentals|-2976.71</v>
      </c>
      <c r="I39" s="7">
        <f t="shared" si="2"/>
        <v>1</v>
      </c>
      <c r="J39" s="7" t="str">
        <f t="shared" si="3"/>
        <v>OK</v>
      </c>
    </row>
    <row r="40">
      <c r="A40" s="2" t="s">
        <v>519</v>
      </c>
      <c r="B40" s="6" t="s">
        <v>520</v>
      </c>
      <c r="C40" s="2" t="s">
        <v>23</v>
      </c>
      <c r="D40" s="2" t="s">
        <v>521</v>
      </c>
      <c r="E40" s="5">
        <v>-26074.27</v>
      </c>
      <c r="F40" s="2" t="s">
        <v>415</v>
      </c>
      <c r="G40" s="6" t="s">
        <v>408</v>
      </c>
      <c r="H40" s="7" t="str">
        <f t="shared" si="1"/>
        <v>Atlantic Fiber Co|-26074.27</v>
      </c>
      <c r="I40" s="7">
        <f t="shared" si="2"/>
        <v>1</v>
      </c>
      <c r="J40" s="7" t="str">
        <f t="shared" si="3"/>
        <v>OK</v>
      </c>
    </row>
    <row r="41">
      <c r="A41" s="2" t="s">
        <v>522</v>
      </c>
      <c r="B41" s="6" t="s">
        <v>502</v>
      </c>
      <c r="C41" s="2" t="s">
        <v>27</v>
      </c>
      <c r="D41" s="2" t="s">
        <v>523</v>
      </c>
      <c r="E41" s="5">
        <v>-9712.3</v>
      </c>
      <c r="F41" s="2" t="s">
        <v>415</v>
      </c>
      <c r="G41" s="6" t="s">
        <v>408</v>
      </c>
      <c r="H41" s="7" t="str">
        <f t="shared" si="1"/>
        <v>Sunline Electrical|-9712.3</v>
      </c>
      <c r="I41" s="7">
        <f t="shared" si="2"/>
        <v>1</v>
      </c>
      <c r="J41" s="7" t="str">
        <f t="shared" si="3"/>
        <v>OK</v>
      </c>
    </row>
    <row r="42">
      <c r="A42" s="2" t="s">
        <v>524</v>
      </c>
      <c r="B42" s="6" t="s">
        <v>525</v>
      </c>
      <c r="C42" s="2" t="s">
        <v>27</v>
      </c>
      <c r="D42" s="2" t="s">
        <v>526</v>
      </c>
      <c r="E42" s="5">
        <v>-15602.66</v>
      </c>
      <c r="F42" s="2" t="s">
        <v>415</v>
      </c>
      <c r="G42" s="6" t="s">
        <v>408</v>
      </c>
      <c r="H42" s="7" t="str">
        <f t="shared" si="1"/>
        <v>Sunline Electrical|-15602.66</v>
      </c>
      <c r="I42" s="7">
        <f t="shared" si="2"/>
        <v>1</v>
      </c>
      <c r="J42" s="7" t="str">
        <f t="shared" si="3"/>
        <v>OK</v>
      </c>
    </row>
    <row r="43">
      <c r="A43" s="2" t="s">
        <v>527</v>
      </c>
      <c r="B43" s="6" t="s">
        <v>528</v>
      </c>
      <c r="C43" s="2" t="s">
        <v>59</v>
      </c>
      <c r="D43" s="2" t="s">
        <v>529</v>
      </c>
      <c r="E43" s="5">
        <v>-25281.28</v>
      </c>
      <c r="F43" s="2" t="s">
        <v>407</v>
      </c>
      <c r="G43" s="6" t="s">
        <v>408</v>
      </c>
      <c r="H43" s="7" t="str">
        <f t="shared" si="1"/>
        <v>Skyline Engineering|-25281.28</v>
      </c>
      <c r="I43" s="7">
        <f t="shared" si="2"/>
        <v>1</v>
      </c>
      <c r="J43" s="7" t="str">
        <f t="shared" si="3"/>
        <v>OK</v>
      </c>
    </row>
    <row r="44">
      <c r="A44" s="2" t="s">
        <v>530</v>
      </c>
      <c r="B44" s="6" t="s">
        <v>531</v>
      </c>
      <c r="C44" s="2" t="s">
        <v>18</v>
      </c>
      <c r="D44" s="2" t="s">
        <v>532</v>
      </c>
      <c r="E44" s="5">
        <v>-26111.8</v>
      </c>
      <c r="F44" s="2" t="s">
        <v>415</v>
      </c>
      <c r="G44" s="6" t="s">
        <v>408</v>
      </c>
      <c r="H44" s="7" t="str">
        <f t="shared" si="1"/>
        <v>Tri-County Services|-26111.8</v>
      </c>
      <c r="I44" s="7">
        <f t="shared" si="2"/>
        <v>2</v>
      </c>
      <c r="J44" s="7" t="str">
        <f t="shared" si="3"/>
        <v>Duplicate Payment</v>
      </c>
    </row>
    <row r="45">
      <c r="A45" s="2" t="s">
        <v>533</v>
      </c>
      <c r="B45" s="6" t="s">
        <v>534</v>
      </c>
      <c r="C45" s="2" t="s">
        <v>18</v>
      </c>
      <c r="D45" s="2" t="s">
        <v>535</v>
      </c>
      <c r="E45" s="5">
        <v>-26111.8</v>
      </c>
      <c r="F45" s="2" t="s">
        <v>415</v>
      </c>
      <c r="G45" s="6" t="s">
        <v>408</v>
      </c>
      <c r="H45" s="7" t="str">
        <f t="shared" si="1"/>
        <v>Tri-County Services|-26111.8</v>
      </c>
      <c r="I45" s="7">
        <f t="shared" si="2"/>
        <v>2</v>
      </c>
      <c r="J45" s="7" t="str">
        <f t="shared" si="3"/>
        <v>Duplicate Payment</v>
      </c>
    </row>
    <row r="46">
      <c r="A46" s="2" t="s">
        <v>536</v>
      </c>
      <c r="B46" s="6" t="s">
        <v>537</v>
      </c>
      <c r="C46" s="2" t="s">
        <v>23</v>
      </c>
      <c r="D46" s="2" t="s">
        <v>538</v>
      </c>
      <c r="E46" s="5">
        <v>-4954.99</v>
      </c>
      <c r="F46" s="2" t="s">
        <v>415</v>
      </c>
      <c r="G46" s="6" t="s">
        <v>408</v>
      </c>
      <c r="H46" s="7" t="str">
        <f t="shared" si="1"/>
        <v>Atlantic Fiber Co|-4954.99</v>
      </c>
      <c r="I46" s="7">
        <f t="shared" si="2"/>
        <v>1</v>
      </c>
      <c r="J46" s="7" t="str">
        <f t="shared" si="3"/>
        <v>OK</v>
      </c>
    </row>
    <row r="47">
      <c r="A47" s="2" t="s">
        <v>539</v>
      </c>
      <c r="B47" s="6" t="s">
        <v>540</v>
      </c>
      <c r="C47" s="2" t="s">
        <v>49</v>
      </c>
      <c r="D47" s="2" t="s">
        <v>541</v>
      </c>
      <c r="E47" s="5">
        <v>-2358.71</v>
      </c>
      <c r="F47" s="2" t="s">
        <v>415</v>
      </c>
      <c r="G47" s="6" t="s">
        <v>408</v>
      </c>
      <c r="H47" s="7" t="str">
        <f t="shared" si="1"/>
        <v>Sunshine Equipment|-2358.71</v>
      </c>
      <c r="I47" s="7">
        <f t="shared" si="2"/>
        <v>1</v>
      </c>
      <c r="J47" s="7" t="str">
        <f t="shared" si="3"/>
        <v>OK</v>
      </c>
    </row>
    <row r="48">
      <c r="A48" s="2" t="s">
        <v>542</v>
      </c>
      <c r="B48" s="6" t="s">
        <v>543</v>
      </c>
      <c r="C48" s="2" t="s">
        <v>59</v>
      </c>
      <c r="D48" s="2" t="s">
        <v>544</v>
      </c>
      <c r="E48" s="5">
        <v>-7164.27</v>
      </c>
      <c r="F48" s="2" t="s">
        <v>407</v>
      </c>
      <c r="G48" s="6" t="s">
        <v>408</v>
      </c>
      <c r="H48" s="7" t="str">
        <f t="shared" si="1"/>
        <v>Skyline Engineering|-7164.27</v>
      </c>
      <c r="I48" s="7">
        <f t="shared" si="2"/>
        <v>1</v>
      </c>
      <c r="J48" s="7" t="str">
        <f t="shared" si="3"/>
        <v>OK</v>
      </c>
    </row>
    <row r="49">
      <c r="A49" s="2" t="s">
        <v>545</v>
      </c>
      <c r="B49" s="6" t="s">
        <v>546</v>
      </c>
      <c r="C49" s="2" t="s">
        <v>36</v>
      </c>
      <c r="D49" s="2" t="s">
        <v>547</v>
      </c>
      <c r="E49" s="5">
        <v>-18862.07</v>
      </c>
      <c r="F49" s="2" t="s">
        <v>415</v>
      </c>
      <c r="G49" s="6" t="s">
        <v>408</v>
      </c>
      <c r="H49" s="7" t="str">
        <f t="shared" si="1"/>
        <v>Tampa Grid Services|-18862.07</v>
      </c>
      <c r="I49" s="7">
        <f t="shared" si="2"/>
        <v>1</v>
      </c>
      <c r="J49" s="7" t="str">
        <f t="shared" si="3"/>
        <v>OK</v>
      </c>
    </row>
    <row r="50">
      <c r="A50" s="2" t="s">
        <v>548</v>
      </c>
      <c r="B50" s="6" t="s">
        <v>549</v>
      </c>
      <c r="C50" s="2" t="s">
        <v>90</v>
      </c>
      <c r="D50" s="2" t="s">
        <v>550</v>
      </c>
      <c r="E50" s="5">
        <v>-7285.35</v>
      </c>
      <c r="F50" s="2" t="s">
        <v>407</v>
      </c>
      <c r="G50" s="6" t="s">
        <v>408</v>
      </c>
      <c r="H50" s="7" t="str">
        <f t="shared" si="1"/>
        <v>Peak Materials Supply|-7285.35</v>
      </c>
      <c r="I50" s="7">
        <f t="shared" si="2"/>
        <v>1</v>
      </c>
      <c r="J50" s="7" t="str">
        <f t="shared" si="3"/>
        <v>OK</v>
      </c>
    </row>
    <row r="51">
      <c r="A51" s="2" t="s">
        <v>551</v>
      </c>
      <c r="B51" s="6" t="s">
        <v>552</v>
      </c>
      <c r="C51" s="2" t="s">
        <v>18</v>
      </c>
      <c r="D51" s="2" t="s">
        <v>553</v>
      </c>
      <c r="E51" s="5">
        <v>-5601.59</v>
      </c>
      <c r="F51" s="2" t="s">
        <v>415</v>
      </c>
      <c r="G51" s="6" t="s">
        <v>408</v>
      </c>
      <c r="H51" s="7" t="str">
        <f t="shared" si="1"/>
        <v>Tri-County Services|-5601.59</v>
      </c>
      <c r="I51" s="7">
        <f t="shared" si="2"/>
        <v>1</v>
      </c>
      <c r="J51" s="7" t="str">
        <f t="shared" si="3"/>
        <v>OK</v>
      </c>
    </row>
    <row r="52">
      <c r="A52" s="2" t="s">
        <v>554</v>
      </c>
      <c r="B52" s="6" t="s">
        <v>555</v>
      </c>
      <c r="C52" s="2" t="s">
        <v>40</v>
      </c>
      <c r="D52" s="2" t="s">
        <v>556</v>
      </c>
      <c r="E52" s="5">
        <v>-9351.64</v>
      </c>
      <c r="F52" s="2" t="s">
        <v>407</v>
      </c>
      <c r="G52" s="6" t="s">
        <v>408</v>
      </c>
      <c r="H52" s="7" t="str">
        <f t="shared" si="1"/>
        <v>Gulf Coast Telecom|-9351.64</v>
      </c>
      <c r="I52" s="7">
        <f t="shared" si="2"/>
        <v>1</v>
      </c>
      <c r="J52" s="7" t="str">
        <f t="shared" si="3"/>
        <v>OK</v>
      </c>
    </row>
    <row r="53">
      <c r="A53" s="2" t="s">
        <v>557</v>
      </c>
      <c r="B53" s="6" t="s">
        <v>558</v>
      </c>
      <c r="C53" s="2" t="s">
        <v>90</v>
      </c>
      <c r="D53" s="2" t="s">
        <v>559</v>
      </c>
      <c r="E53" s="5">
        <v>-9094.82</v>
      </c>
      <c r="F53" s="2" t="s">
        <v>407</v>
      </c>
      <c r="G53" s="6" t="s">
        <v>408</v>
      </c>
      <c r="H53" s="7" t="str">
        <f t="shared" si="1"/>
        <v>Peak Materials Supply|-9094.82</v>
      </c>
      <c r="I53" s="7">
        <f t="shared" si="2"/>
        <v>1</v>
      </c>
      <c r="J53" s="7" t="str">
        <f t="shared" si="3"/>
        <v>OK</v>
      </c>
    </row>
    <row r="54">
      <c r="A54" s="2" t="s">
        <v>560</v>
      </c>
      <c r="B54" s="6" t="s">
        <v>494</v>
      </c>
      <c r="C54" s="2" t="s">
        <v>30</v>
      </c>
      <c r="D54" s="2" t="s">
        <v>561</v>
      </c>
      <c r="E54" s="5">
        <v>-23198.4</v>
      </c>
      <c r="F54" s="2" t="s">
        <v>407</v>
      </c>
      <c r="G54" s="6" t="s">
        <v>408</v>
      </c>
      <c r="H54" s="7" t="str">
        <f t="shared" si="1"/>
        <v>Tidal Contractors|-23198.4</v>
      </c>
      <c r="I54" s="7">
        <f t="shared" si="2"/>
        <v>1</v>
      </c>
      <c r="J54" s="7" t="str">
        <f t="shared" si="3"/>
        <v>OK</v>
      </c>
    </row>
    <row r="55">
      <c r="A55" s="2" t="s">
        <v>562</v>
      </c>
      <c r="B55" s="6" t="s">
        <v>525</v>
      </c>
      <c r="C55" s="2" t="s">
        <v>18</v>
      </c>
      <c r="D55" s="2" t="s">
        <v>563</v>
      </c>
      <c r="E55" s="5">
        <v>-14682.91</v>
      </c>
      <c r="F55" s="2" t="s">
        <v>407</v>
      </c>
      <c r="G55" s="6" t="s">
        <v>408</v>
      </c>
      <c r="H55" s="7" t="str">
        <f t="shared" si="1"/>
        <v>Tri-County Services|-14682.91</v>
      </c>
      <c r="I55" s="7">
        <f t="shared" si="2"/>
        <v>1</v>
      </c>
      <c r="J55" s="7" t="str">
        <f t="shared" si="3"/>
        <v>OK</v>
      </c>
    </row>
    <row r="56">
      <c r="A56" s="2" t="s">
        <v>564</v>
      </c>
      <c r="B56" s="6" t="s">
        <v>565</v>
      </c>
      <c r="C56" s="2" t="s">
        <v>57</v>
      </c>
      <c r="D56" s="2" t="s">
        <v>566</v>
      </c>
      <c r="E56" s="5">
        <v>-25597.59</v>
      </c>
      <c r="F56" s="2" t="s">
        <v>415</v>
      </c>
      <c r="G56" s="6" t="s">
        <v>408</v>
      </c>
      <c r="H56" s="7" t="str">
        <f t="shared" si="1"/>
        <v>Florida Line Crew LLC|-25597.59</v>
      </c>
      <c r="I56" s="7">
        <f t="shared" si="2"/>
        <v>1</v>
      </c>
      <c r="J56" s="7" t="str">
        <f t="shared" si="3"/>
        <v>OK</v>
      </c>
    </row>
    <row r="57">
      <c r="A57" s="2" t="s">
        <v>567</v>
      </c>
      <c r="B57" s="6" t="s">
        <v>568</v>
      </c>
      <c r="C57" s="2" t="s">
        <v>40</v>
      </c>
      <c r="D57" s="2" t="s">
        <v>569</v>
      </c>
      <c r="E57" s="5">
        <v>-25830.14</v>
      </c>
      <c r="F57" s="2" t="s">
        <v>407</v>
      </c>
      <c r="G57" s="6" t="s">
        <v>408</v>
      </c>
      <c r="H57" s="7" t="str">
        <f t="shared" si="1"/>
        <v>Gulf Coast Telecom|-25830.14</v>
      </c>
      <c r="I57" s="7">
        <f t="shared" si="2"/>
        <v>1</v>
      </c>
      <c r="J57" s="7" t="str">
        <f t="shared" si="3"/>
        <v>OK</v>
      </c>
    </row>
    <row r="58">
      <c r="A58" s="2" t="s">
        <v>570</v>
      </c>
      <c r="B58" s="6" t="s">
        <v>571</v>
      </c>
      <c r="C58" s="2" t="s">
        <v>59</v>
      </c>
      <c r="D58" s="2" t="s">
        <v>572</v>
      </c>
      <c r="E58" s="5">
        <v>-11955.35</v>
      </c>
      <c r="F58" s="2" t="s">
        <v>407</v>
      </c>
      <c r="G58" s="6" t="s">
        <v>408</v>
      </c>
      <c r="H58" s="7" t="str">
        <f t="shared" si="1"/>
        <v>Skyline Engineering|-11955.35</v>
      </c>
      <c r="I58" s="7">
        <f t="shared" si="2"/>
        <v>1</v>
      </c>
      <c r="J58" s="7" t="str">
        <f t="shared" si="3"/>
        <v>OK</v>
      </c>
    </row>
    <row r="59">
      <c r="A59" s="2" t="s">
        <v>573</v>
      </c>
      <c r="B59" s="6" t="s">
        <v>574</v>
      </c>
      <c r="C59" s="2" t="s">
        <v>90</v>
      </c>
      <c r="D59" s="2" t="s">
        <v>575</v>
      </c>
      <c r="E59" s="5">
        <v>-18584.03</v>
      </c>
      <c r="F59" s="2" t="s">
        <v>407</v>
      </c>
      <c r="G59" s="6" t="s">
        <v>408</v>
      </c>
      <c r="H59" s="7" t="str">
        <f t="shared" si="1"/>
        <v>Peak Materials Supply|-18584.03</v>
      </c>
      <c r="I59" s="7">
        <f t="shared" si="2"/>
        <v>1</v>
      </c>
      <c r="J59" s="7" t="str">
        <f t="shared" si="3"/>
        <v>OK</v>
      </c>
    </row>
    <row r="60">
      <c r="A60" s="2" t="s">
        <v>576</v>
      </c>
      <c r="B60" s="6" t="s">
        <v>577</v>
      </c>
      <c r="C60" s="2" t="s">
        <v>18</v>
      </c>
      <c r="D60" s="2" t="s">
        <v>578</v>
      </c>
      <c r="E60" s="5">
        <v>-14793.41</v>
      </c>
      <c r="F60" s="2" t="s">
        <v>415</v>
      </c>
      <c r="G60" s="6" t="s">
        <v>408</v>
      </c>
      <c r="H60" s="7" t="str">
        <f t="shared" si="1"/>
        <v>Tri-County Services|-14793.41</v>
      </c>
      <c r="I60" s="7">
        <f t="shared" si="2"/>
        <v>1</v>
      </c>
      <c r="J60" s="7" t="str">
        <f t="shared" si="3"/>
        <v>OK</v>
      </c>
    </row>
    <row r="61">
      <c r="A61" s="2" t="s">
        <v>579</v>
      </c>
      <c r="B61" s="6" t="s">
        <v>580</v>
      </c>
      <c r="C61" s="2" t="s">
        <v>59</v>
      </c>
      <c r="D61" s="2" t="s">
        <v>581</v>
      </c>
      <c r="E61" s="5">
        <v>-17761.18</v>
      </c>
      <c r="F61" s="2" t="s">
        <v>415</v>
      </c>
      <c r="G61" s="6" t="s">
        <v>408</v>
      </c>
      <c r="H61" s="7" t="str">
        <f t="shared" si="1"/>
        <v>Skyline Engineering|-17761.18</v>
      </c>
      <c r="I61" s="7">
        <f t="shared" si="2"/>
        <v>1</v>
      </c>
      <c r="J61" s="7" t="str">
        <f t="shared" si="3"/>
        <v>OK</v>
      </c>
    </row>
    <row r="62">
      <c r="A62" s="2" t="s">
        <v>582</v>
      </c>
      <c r="B62" s="6" t="s">
        <v>583</v>
      </c>
      <c r="C62" s="2" t="s">
        <v>62</v>
      </c>
      <c r="D62" s="2" t="s">
        <v>584</v>
      </c>
      <c r="E62" s="5">
        <v>-3650.67</v>
      </c>
      <c r="F62" s="2" t="s">
        <v>415</v>
      </c>
      <c r="G62" s="6" t="s">
        <v>408</v>
      </c>
      <c r="H62" s="7" t="str">
        <f t="shared" si="1"/>
        <v>Bay Area Rentals|-3650.67</v>
      </c>
      <c r="I62" s="7">
        <f t="shared" si="2"/>
        <v>1</v>
      </c>
      <c r="J62" s="7" t="str">
        <f t="shared" si="3"/>
        <v>OK</v>
      </c>
    </row>
    <row r="63">
      <c r="A63" s="2" t="s">
        <v>585</v>
      </c>
      <c r="B63" s="6" t="s">
        <v>586</v>
      </c>
      <c r="C63" s="2" t="s">
        <v>18</v>
      </c>
      <c r="D63" s="2" t="s">
        <v>587</v>
      </c>
      <c r="E63" s="5">
        <v>-19070.09</v>
      </c>
      <c r="F63" s="2" t="s">
        <v>407</v>
      </c>
      <c r="G63" s="6" t="s">
        <v>408</v>
      </c>
      <c r="H63" s="7" t="str">
        <f t="shared" si="1"/>
        <v>Tri-County Services|-19070.09</v>
      </c>
      <c r="I63" s="7">
        <f t="shared" si="2"/>
        <v>1</v>
      </c>
      <c r="J63" s="7" t="str">
        <f t="shared" si="3"/>
        <v>OK</v>
      </c>
    </row>
    <row r="64">
      <c r="A64" s="2" t="s">
        <v>588</v>
      </c>
      <c r="B64" s="6" t="s">
        <v>589</v>
      </c>
      <c r="C64" s="2" t="s">
        <v>49</v>
      </c>
      <c r="D64" s="2" t="s">
        <v>590</v>
      </c>
      <c r="E64" s="5">
        <v>-17183.98</v>
      </c>
      <c r="F64" s="2" t="s">
        <v>407</v>
      </c>
      <c r="G64" s="6" t="s">
        <v>408</v>
      </c>
      <c r="H64" s="7" t="str">
        <f t="shared" si="1"/>
        <v>Sunshine Equipment|-17183.98</v>
      </c>
      <c r="I64" s="7">
        <f t="shared" si="2"/>
        <v>1</v>
      </c>
      <c r="J64" s="7" t="str">
        <f t="shared" si="3"/>
        <v>OK</v>
      </c>
    </row>
    <row r="65">
      <c r="A65" s="2" t="s">
        <v>591</v>
      </c>
      <c r="B65" s="6" t="s">
        <v>592</v>
      </c>
      <c r="C65" s="2" t="s">
        <v>27</v>
      </c>
      <c r="D65" s="2" t="s">
        <v>593</v>
      </c>
      <c r="E65" s="5">
        <v>-13605.89</v>
      </c>
      <c r="F65" s="2" t="s">
        <v>407</v>
      </c>
      <c r="G65" s="6" t="s">
        <v>408</v>
      </c>
      <c r="H65" s="7" t="str">
        <f t="shared" si="1"/>
        <v>Sunline Electrical|-13605.89</v>
      </c>
      <c r="I65" s="7">
        <f t="shared" si="2"/>
        <v>1</v>
      </c>
      <c r="J65" s="7" t="str">
        <f t="shared" si="3"/>
        <v>OK</v>
      </c>
    </row>
    <row r="66">
      <c r="A66" s="2" t="s">
        <v>594</v>
      </c>
      <c r="B66" s="6" t="s">
        <v>595</v>
      </c>
      <c r="C66" s="2" t="s">
        <v>40</v>
      </c>
      <c r="D66" s="2" t="s">
        <v>596</v>
      </c>
      <c r="E66" s="5">
        <v>-17294.82</v>
      </c>
      <c r="F66" s="2" t="s">
        <v>407</v>
      </c>
      <c r="G66" s="6" t="s">
        <v>408</v>
      </c>
      <c r="H66" s="7" t="str">
        <f t="shared" si="1"/>
        <v>Gulf Coast Telecom|-17294.82</v>
      </c>
      <c r="I66" s="7">
        <f t="shared" si="2"/>
        <v>1</v>
      </c>
      <c r="J66" s="7" t="str">
        <f t="shared" si="3"/>
        <v>OK</v>
      </c>
    </row>
    <row r="67">
      <c r="A67" s="2" t="s">
        <v>597</v>
      </c>
      <c r="B67" s="6" t="s">
        <v>598</v>
      </c>
      <c r="C67" s="2" t="s">
        <v>27</v>
      </c>
      <c r="D67" s="2" t="s">
        <v>599</v>
      </c>
      <c r="E67" s="5">
        <v>-16864.83</v>
      </c>
      <c r="F67" s="2" t="s">
        <v>415</v>
      </c>
      <c r="G67" s="6" t="s">
        <v>408</v>
      </c>
      <c r="H67" s="7" t="str">
        <f t="shared" si="1"/>
        <v>Sunline Electrical|-16864.83</v>
      </c>
      <c r="I67" s="7">
        <f t="shared" si="2"/>
        <v>1</v>
      </c>
      <c r="J67" s="7" t="str">
        <f t="shared" si="3"/>
        <v>OK</v>
      </c>
    </row>
    <row r="68">
      <c r="A68" s="2" t="s">
        <v>600</v>
      </c>
      <c r="B68" s="6" t="s">
        <v>601</v>
      </c>
      <c r="C68" s="2" t="s">
        <v>59</v>
      </c>
      <c r="D68" s="2" t="s">
        <v>602</v>
      </c>
      <c r="E68" s="5">
        <v>-18267.69</v>
      </c>
      <c r="F68" s="2" t="s">
        <v>407</v>
      </c>
      <c r="G68" s="6" t="s">
        <v>408</v>
      </c>
      <c r="H68" s="7" t="str">
        <f t="shared" si="1"/>
        <v>Skyline Engineering|-18267.69</v>
      </c>
      <c r="I68" s="7">
        <f t="shared" si="2"/>
        <v>1</v>
      </c>
      <c r="J68" s="7" t="str">
        <f t="shared" si="3"/>
        <v>OK</v>
      </c>
    </row>
    <row r="69">
      <c r="A69" s="2" t="s">
        <v>603</v>
      </c>
      <c r="B69" s="6" t="s">
        <v>491</v>
      </c>
      <c r="C69" s="2" t="s">
        <v>27</v>
      </c>
      <c r="D69" s="2" t="s">
        <v>604</v>
      </c>
      <c r="E69" s="5">
        <v>-1150.42</v>
      </c>
      <c r="F69" s="2" t="s">
        <v>415</v>
      </c>
      <c r="G69" s="6" t="s">
        <v>408</v>
      </c>
      <c r="H69" s="7" t="str">
        <f t="shared" si="1"/>
        <v>Sunline Electrical|-1150.42</v>
      </c>
      <c r="I69" s="7">
        <f t="shared" si="2"/>
        <v>2</v>
      </c>
      <c r="J69" s="7" t="str">
        <f t="shared" si="3"/>
        <v>Duplicate Payment</v>
      </c>
    </row>
    <row r="70">
      <c r="A70" s="2" t="s">
        <v>605</v>
      </c>
      <c r="B70" s="6" t="s">
        <v>606</v>
      </c>
      <c r="C70" s="2" t="s">
        <v>27</v>
      </c>
      <c r="D70" s="2" t="s">
        <v>607</v>
      </c>
      <c r="E70" s="5">
        <v>-1150.42</v>
      </c>
      <c r="F70" s="2" t="s">
        <v>407</v>
      </c>
      <c r="G70" s="6" t="s">
        <v>408</v>
      </c>
      <c r="H70" s="7" t="str">
        <f t="shared" si="1"/>
        <v>Sunline Electrical|-1150.42</v>
      </c>
      <c r="I70" s="7">
        <f t="shared" si="2"/>
        <v>2</v>
      </c>
      <c r="J70" s="7" t="str">
        <f t="shared" si="3"/>
        <v>Duplicate Payment</v>
      </c>
    </row>
    <row r="71">
      <c r="A71" s="2" t="s">
        <v>608</v>
      </c>
      <c r="B71" s="6" t="s">
        <v>417</v>
      </c>
      <c r="C71" s="2" t="s">
        <v>42</v>
      </c>
      <c r="D71" s="2" t="s">
        <v>609</v>
      </c>
      <c r="E71" s="5">
        <v>-8375.5</v>
      </c>
      <c r="F71" s="2" t="s">
        <v>407</v>
      </c>
      <c r="G71" s="6" t="s">
        <v>408</v>
      </c>
      <c r="H71" s="7" t="str">
        <f t="shared" si="1"/>
        <v>BrightPower Partners|-8375.5</v>
      </c>
      <c r="I71" s="7">
        <f t="shared" si="2"/>
        <v>1</v>
      </c>
      <c r="J71" s="7" t="str">
        <f t="shared" si="3"/>
        <v>OK</v>
      </c>
    </row>
    <row r="72">
      <c r="A72" s="2" t="s">
        <v>610</v>
      </c>
      <c r="B72" s="6" t="s">
        <v>611</v>
      </c>
      <c r="C72" s="2" t="s">
        <v>57</v>
      </c>
      <c r="D72" s="2" t="s">
        <v>612</v>
      </c>
      <c r="E72" s="5">
        <v>-19716.59</v>
      </c>
      <c r="F72" s="2" t="s">
        <v>407</v>
      </c>
      <c r="G72" s="6" t="s">
        <v>408</v>
      </c>
      <c r="H72" s="7" t="str">
        <f t="shared" si="1"/>
        <v>Florida Line Crew LLC|-19716.59</v>
      </c>
      <c r="I72" s="7">
        <f t="shared" si="2"/>
        <v>1</v>
      </c>
      <c r="J72" s="7" t="str">
        <f t="shared" si="3"/>
        <v>OK</v>
      </c>
    </row>
    <row r="73">
      <c r="A73" s="2" t="s">
        <v>613</v>
      </c>
      <c r="B73" s="6" t="s">
        <v>614</v>
      </c>
      <c r="C73" s="2" t="s">
        <v>62</v>
      </c>
      <c r="D73" s="2" t="s">
        <v>615</v>
      </c>
      <c r="E73" s="5">
        <v>-22930.63</v>
      </c>
      <c r="F73" s="2" t="s">
        <v>407</v>
      </c>
      <c r="G73" s="6" t="s">
        <v>408</v>
      </c>
      <c r="H73" s="7" t="str">
        <f t="shared" si="1"/>
        <v>Bay Area Rentals|-22930.63</v>
      </c>
      <c r="I73" s="7">
        <f t="shared" si="2"/>
        <v>1</v>
      </c>
      <c r="J73" s="7" t="str">
        <f t="shared" si="3"/>
        <v>OK</v>
      </c>
    </row>
    <row r="74">
      <c r="A74" s="2" t="s">
        <v>616</v>
      </c>
      <c r="B74" s="6" t="s">
        <v>617</v>
      </c>
      <c r="C74" s="2" t="s">
        <v>62</v>
      </c>
      <c r="D74" s="2" t="s">
        <v>618</v>
      </c>
      <c r="E74" s="5">
        <v>-10648.38</v>
      </c>
      <c r="F74" s="2" t="s">
        <v>415</v>
      </c>
      <c r="G74" s="6" t="s">
        <v>408</v>
      </c>
      <c r="H74" s="7" t="str">
        <f t="shared" si="1"/>
        <v>Bay Area Rentals|-10648.38</v>
      </c>
      <c r="I74" s="7">
        <f t="shared" si="2"/>
        <v>1</v>
      </c>
      <c r="J74" s="7" t="str">
        <f t="shared" si="3"/>
        <v>OK</v>
      </c>
    </row>
    <row r="75">
      <c r="A75" s="2" t="s">
        <v>619</v>
      </c>
      <c r="B75" s="6" t="s">
        <v>620</v>
      </c>
      <c r="C75" s="2" t="s">
        <v>18</v>
      </c>
      <c r="D75" s="2" t="s">
        <v>621</v>
      </c>
      <c r="E75" s="5">
        <v>-25663.17</v>
      </c>
      <c r="F75" s="2" t="s">
        <v>407</v>
      </c>
      <c r="G75" s="6" t="s">
        <v>408</v>
      </c>
      <c r="H75" s="7" t="str">
        <f t="shared" si="1"/>
        <v>Tri-County Services|-25663.17</v>
      </c>
      <c r="I75" s="7">
        <f t="shared" si="2"/>
        <v>1</v>
      </c>
      <c r="J75" s="7" t="str">
        <f t="shared" si="3"/>
        <v>OK</v>
      </c>
    </row>
    <row r="76">
      <c r="A76" s="2" t="s">
        <v>622</v>
      </c>
      <c r="B76" s="6" t="s">
        <v>623</v>
      </c>
      <c r="C76" s="2" t="s">
        <v>18</v>
      </c>
      <c r="D76" s="2" t="s">
        <v>624</v>
      </c>
      <c r="E76" s="5">
        <v>-25336.22</v>
      </c>
      <c r="F76" s="2" t="s">
        <v>415</v>
      </c>
      <c r="G76" s="6" t="s">
        <v>408</v>
      </c>
      <c r="H76" s="7" t="str">
        <f t="shared" si="1"/>
        <v>Tri-County Services|-25336.22</v>
      </c>
      <c r="I76" s="7">
        <f t="shared" si="2"/>
        <v>1</v>
      </c>
      <c r="J76" s="7" t="str">
        <f t="shared" si="3"/>
        <v>OK</v>
      </c>
    </row>
    <row r="77">
      <c r="A77" s="2" t="s">
        <v>625</v>
      </c>
      <c r="B77" s="6" t="s">
        <v>626</v>
      </c>
      <c r="C77" s="2" t="s">
        <v>40</v>
      </c>
      <c r="D77" s="2" t="s">
        <v>627</v>
      </c>
      <c r="E77" s="5">
        <v>-9150.94</v>
      </c>
      <c r="F77" s="2" t="s">
        <v>407</v>
      </c>
      <c r="G77" s="6" t="s">
        <v>408</v>
      </c>
      <c r="H77" s="7" t="str">
        <f t="shared" si="1"/>
        <v>Gulf Coast Telecom|-9150.94</v>
      </c>
      <c r="I77" s="7">
        <f t="shared" si="2"/>
        <v>1</v>
      </c>
      <c r="J77" s="7" t="str">
        <f t="shared" si="3"/>
        <v>OK</v>
      </c>
    </row>
    <row r="78">
      <c r="A78" s="2" t="s">
        <v>628</v>
      </c>
      <c r="B78" s="6" t="s">
        <v>629</v>
      </c>
      <c r="C78" s="2" t="s">
        <v>59</v>
      </c>
      <c r="D78" s="2" t="s">
        <v>630</v>
      </c>
      <c r="E78" s="5">
        <v>-14940.9</v>
      </c>
      <c r="F78" s="2" t="s">
        <v>415</v>
      </c>
      <c r="G78" s="6" t="s">
        <v>408</v>
      </c>
      <c r="H78" s="7" t="str">
        <f t="shared" si="1"/>
        <v>Skyline Engineering|-14940.9</v>
      </c>
      <c r="I78" s="7">
        <f t="shared" si="2"/>
        <v>1</v>
      </c>
      <c r="J78" s="7" t="str">
        <f t="shared" si="3"/>
        <v>OK</v>
      </c>
    </row>
    <row r="79">
      <c r="A79" s="2" t="s">
        <v>631</v>
      </c>
      <c r="B79" s="6" t="s">
        <v>520</v>
      </c>
      <c r="C79" s="2" t="s">
        <v>42</v>
      </c>
      <c r="D79" s="2" t="s">
        <v>632</v>
      </c>
      <c r="E79" s="5">
        <v>-20498.0</v>
      </c>
      <c r="F79" s="2" t="s">
        <v>407</v>
      </c>
      <c r="G79" s="6" t="s">
        <v>408</v>
      </c>
      <c r="H79" s="7" t="str">
        <f t="shared" si="1"/>
        <v>BrightPower Partners|-20498</v>
      </c>
      <c r="I79" s="7">
        <f t="shared" si="2"/>
        <v>1</v>
      </c>
      <c r="J79" s="7" t="str">
        <f t="shared" si="3"/>
        <v>OK</v>
      </c>
    </row>
    <row r="80">
      <c r="A80" s="2" t="s">
        <v>633</v>
      </c>
      <c r="B80" s="6" t="s">
        <v>634</v>
      </c>
      <c r="C80" s="2" t="s">
        <v>36</v>
      </c>
      <c r="D80" s="2" t="s">
        <v>635</v>
      </c>
      <c r="E80" s="5">
        <v>-2442.48</v>
      </c>
      <c r="F80" s="2" t="s">
        <v>415</v>
      </c>
      <c r="G80" s="6" t="s">
        <v>408</v>
      </c>
      <c r="H80" s="7" t="str">
        <f t="shared" si="1"/>
        <v>Tampa Grid Services|-2442.48</v>
      </c>
      <c r="I80" s="7">
        <f t="shared" si="2"/>
        <v>1</v>
      </c>
      <c r="J80" s="7" t="str">
        <f t="shared" si="3"/>
        <v>OK</v>
      </c>
    </row>
    <row r="81">
      <c r="A81" s="2" t="s">
        <v>636</v>
      </c>
      <c r="B81" s="6" t="s">
        <v>464</v>
      </c>
      <c r="C81" s="2" t="s">
        <v>36</v>
      </c>
      <c r="D81" s="2" t="s">
        <v>637</v>
      </c>
      <c r="E81" s="5">
        <v>-26523.12</v>
      </c>
      <c r="F81" s="2" t="s">
        <v>407</v>
      </c>
      <c r="G81" s="6" t="s">
        <v>408</v>
      </c>
      <c r="H81" s="7" t="str">
        <f t="shared" si="1"/>
        <v>Tampa Grid Services|-26523.12</v>
      </c>
      <c r="I81" s="7">
        <f t="shared" si="2"/>
        <v>1</v>
      </c>
      <c r="J81" s="7" t="str">
        <f t="shared" si="3"/>
        <v>OK</v>
      </c>
    </row>
    <row r="82">
      <c r="A82" s="2" t="s">
        <v>638</v>
      </c>
      <c r="B82" s="6" t="s">
        <v>620</v>
      </c>
      <c r="C82" s="2" t="s">
        <v>59</v>
      </c>
      <c r="D82" s="2" t="s">
        <v>639</v>
      </c>
      <c r="E82" s="5">
        <v>-19099.97</v>
      </c>
      <c r="F82" s="2" t="s">
        <v>407</v>
      </c>
      <c r="G82" s="6" t="s">
        <v>408</v>
      </c>
      <c r="H82" s="7" t="str">
        <f t="shared" si="1"/>
        <v>Skyline Engineering|-19099.97</v>
      </c>
      <c r="I82" s="7">
        <f t="shared" si="2"/>
        <v>1</v>
      </c>
      <c r="J82" s="7" t="str">
        <f t="shared" si="3"/>
        <v>OK</v>
      </c>
    </row>
    <row r="83">
      <c r="A83" s="2" t="s">
        <v>640</v>
      </c>
      <c r="B83" s="6" t="s">
        <v>641</v>
      </c>
      <c r="C83" s="2" t="s">
        <v>42</v>
      </c>
      <c r="D83" s="2" t="s">
        <v>642</v>
      </c>
      <c r="E83" s="5">
        <v>-24295.08</v>
      </c>
      <c r="F83" s="2" t="s">
        <v>415</v>
      </c>
      <c r="G83" s="6" t="s">
        <v>408</v>
      </c>
      <c r="H83" s="7" t="str">
        <f t="shared" si="1"/>
        <v>BrightPower Partners|-24295.08</v>
      </c>
      <c r="I83" s="7">
        <f t="shared" si="2"/>
        <v>1</v>
      </c>
      <c r="J83" s="7" t="str">
        <f t="shared" si="3"/>
        <v>OK</v>
      </c>
    </row>
    <row r="84">
      <c r="A84" s="2" t="s">
        <v>643</v>
      </c>
      <c r="B84" s="6" t="s">
        <v>644</v>
      </c>
      <c r="C84" s="2" t="s">
        <v>18</v>
      </c>
      <c r="D84" s="2" t="s">
        <v>645</v>
      </c>
      <c r="E84" s="5">
        <v>-15516.17</v>
      </c>
      <c r="F84" s="2" t="s">
        <v>415</v>
      </c>
      <c r="G84" s="6" t="s">
        <v>408</v>
      </c>
      <c r="H84" s="7" t="str">
        <f t="shared" si="1"/>
        <v>Tri-County Services|-15516.17</v>
      </c>
      <c r="I84" s="7">
        <f t="shared" si="2"/>
        <v>1</v>
      </c>
      <c r="J84" s="7" t="str">
        <f t="shared" si="3"/>
        <v>OK</v>
      </c>
    </row>
    <row r="85">
      <c r="A85" s="2" t="s">
        <v>646</v>
      </c>
      <c r="B85" s="6" t="s">
        <v>647</v>
      </c>
      <c r="C85" s="2" t="s">
        <v>90</v>
      </c>
      <c r="D85" s="2" t="s">
        <v>648</v>
      </c>
      <c r="E85" s="5">
        <v>-11973.55</v>
      </c>
      <c r="F85" s="2" t="s">
        <v>415</v>
      </c>
      <c r="G85" s="6" t="s">
        <v>408</v>
      </c>
      <c r="H85" s="7" t="str">
        <f t="shared" si="1"/>
        <v>Peak Materials Supply|-11973.55</v>
      </c>
      <c r="I85" s="7">
        <f t="shared" si="2"/>
        <v>1</v>
      </c>
      <c r="J85" s="7" t="str">
        <f t="shared" si="3"/>
        <v>OK</v>
      </c>
    </row>
    <row r="86">
      <c r="A86" s="2" t="s">
        <v>649</v>
      </c>
      <c r="B86" s="6" t="s">
        <v>650</v>
      </c>
      <c r="C86" s="2" t="s">
        <v>36</v>
      </c>
      <c r="D86" s="2" t="s">
        <v>651</v>
      </c>
      <c r="E86" s="5">
        <v>-8994.23</v>
      </c>
      <c r="F86" s="2" t="s">
        <v>415</v>
      </c>
      <c r="G86" s="6" t="s">
        <v>408</v>
      </c>
      <c r="H86" s="7" t="str">
        <f t="shared" si="1"/>
        <v>Tampa Grid Services|-8994.23</v>
      </c>
      <c r="I86" s="7">
        <f t="shared" si="2"/>
        <v>1</v>
      </c>
      <c r="J86" s="7" t="str">
        <f t="shared" si="3"/>
        <v>OK</v>
      </c>
    </row>
    <row r="87">
      <c r="A87" s="2" t="s">
        <v>652</v>
      </c>
      <c r="B87" s="6" t="s">
        <v>653</v>
      </c>
      <c r="C87" s="2" t="s">
        <v>40</v>
      </c>
      <c r="D87" s="2" t="s">
        <v>654</v>
      </c>
      <c r="E87" s="5">
        <v>-2489.04</v>
      </c>
      <c r="F87" s="2" t="s">
        <v>407</v>
      </c>
      <c r="G87" s="6" t="s">
        <v>408</v>
      </c>
      <c r="H87" s="7" t="str">
        <f t="shared" si="1"/>
        <v>Gulf Coast Telecom|-2489.04</v>
      </c>
      <c r="I87" s="7">
        <f t="shared" si="2"/>
        <v>1</v>
      </c>
      <c r="J87" s="7" t="str">
        <f t="shared" si="3"/>
        <v>OK</v>
      </c>
    </row>
    <row r="88">
      <c r="A88" s="2" t="s">
        <v>655</v>
      </c>
      <c r="B88" s="6" t="s">
        <v>656</v>
      </c>
      <c r="C88" s="2" t="s">
        <v>62</v>
      </c>
      <c r="D88" s="2" t="s">
        <v>657</v>
      </c>
      <c r="E88" s="5">
        <v>-26391.74</v>
      </c>
      <c r="F88" s="2" t="s">
        <v>407</v>
      </c>
      <c r="G88" s="6" t="s">
        <v>408</v>
      </c>
      <c r="H88" s="7" t="str">
        <f t="shared" si="1"/>
        <v>Bay Area Rentals|-26391.74</v>
      </c>
      <c r="I88" s="7">
        <f t="shared" si="2"/>
        <v>1</v>
      </c>
      <c r="J88" s="7" t="str">
        <f t="shared" si="3"/>
        <v>OK</v>
      </c>
    </row>
    <row r="89">
      <c r="A89" s="2" t="s">
        <v>658</v>
      </c>
      <c r="B89" s="6" t="s">
        <v>574</v>
      </c>
      <c r="C89" s="2" t="s">
        <v>27</v>
      </c>
      <c r="D89" s="2" t="s">
        <v>659</v>
      </c>
      <c r="E89" s="5">
        <v>-12363.41</v>
      </c>
      <c r="F89" s="2" t="s">
        <v>407</v>
      </c>
      <c r="G89" s="6" t="s">
        <v>408</v>
      </c>
      <c r="H89" s="7" t="str">
        <f t="shared" si="1"/>
        <v>Sunline Electrical|-12363.41</v>
      </c>
      <c r="I89" s="7">
        <f t="shared" si="2"/>
        <v>1</v>
      </c>
      <c r="J89" s="7" t="str">
        <f t="shared" si="3"/>
        <v>OK</v>
      </c>
    </row>
    <row r="90">
      <c r="A90" s="2" t="s">
        <v>660</v>
      </c>
      <c r="B90" s="6" t="s">
        <v>661</v>
      </c>
      <c r="C90" s="2" t="s">
        <v>30</v>
      </c>
      <c r="D90" s="2" t="s">
        <v>662</v>
      </c>
      <c r="E90" s="5">
        <v>-12631.55</v>
      </c>
      <c r="F90" s="2" t="s">
        <v>415</v>
      </c>
      <c r="G90" s="6" t="s">
        <v>408</v>
      </c>
      <c r="H90" s="7" t="str">
        <f t="shared" si="1"/>
        <v>Tidal Contractors|-12631.55</v>
      </c>
      <c r="I90" s="7">
        <f t="shared" si="2"/>
        <v>1</v>
      </c>
      <c r="J90" s="7" t="str">
        <f t="shared" si="3"/>
        <v>OK</v>
      </c>
    </row>
    <row r="91">
      <c r="A91" s="2" t="s">
        <v>663</v>
      </c>
      <c r="B91" s="6" t="s">
        <v>555</v>
      </c>
      <c r="C91" s="2" t="s">
        <v>18</v>
      </c>
      <c r="D91" s="2" t="s">
        <v>664</v>
      </c>
      <c r="E91" s="5">
        <v>-11314.78</v>
      </c>
      <c r="F91" s="2" t="s">
        <v>415</v>
      </c>
      <c r="G91" s="6" t="s">
        <v>408</v>
      </c>
      <c r="H91" s="7" t="str">
        <f t="shared" si="1"/>
        <v>Tri-County Services|-11314.78</v>
      </c>
      <c r="I91" s="7">
        <f t="shared" si="2"/>
        <v>1</v>
      </c>
      <c r="J91" s="7" t="str">
        <f t="shared" si="3"/>
        <v>OK</v>
      </c>
    </row>
    <row r="92">
      <c r="A92" s="2" t="s">
        <v>665</v>
      </c>
      <c r="B92" s="6" t="s">
        <v>666</v>
      </c>
      <c r="C92" s="2" t="s">
        <v>59</v>
      </c>
      <c r="D92" s="2" t="s">
        <v>667</v>
      </c>
      <c r="E92" s="5">
        <v>-25308.76</v>
      </c>
      <c r="F92" s="2" t="s">
        <v>407</v>
      </c>
      <c r="G92" s="6" t="s">
        <v>408</v>
      </c>
      <c r="H92" s="7" t="str">
        <f t="shared" si="1"/>
        <v>Skyline Engineering|-25308.76</v>
      </c>
      <c r="I92" s="7">
        <f t="shared" si="2"/>
        <v>1</v>
      </c>
      <c r="J92" s="7" t="str">
        <f t="shared" si="3"/>
        <v>OK</v>
      </c>
    </row>
    <row r="93">
      <c r="A93" s="2" t="s">
        <v>668</v>
      </c>
      <c r="B93" s="6" t="s">
        <v>669</v>
      </c>
      <c r="C93" s="2" t="s">
        <v>18</v>
      </c>
      <c r="D93" s="2" t="s">
        <v>670</v>
      </c>
      <c r="E93" s="5">
        <v>-23238.87</v>
      </c>
      <c r="F93" s="2" t="s">
        <v>407</v>
      </c>
      <c r="G93" s="6" t="s">
        <v>408</v>
      </c>
      <c r="H93" s="7" t="str">
        <f t="shared" si="1"/>
        <v>Tri-County Services|-23238.87</v>
      </c>
      <c r="I93" s="7">
        <f t="shared" si="2"/>
        <v>1</v>
      </c>
      <c r="J93" s="7" t="str">
        <f t="shared" si="3"/>
        <v>OK</v>
      </c>
    </row>
    <row r="94">
      <c r="A94" s="2" t="s">
        <v>671</v>
      </c>
      <c r="B94" s="6" t="s">
        <v>672</v>
      </c>
      <c r="C94" s="2" t="s">
        <v>27</v>
      </c>
      <c r="D94" s="2" t="s">
        <v>673</v>
      </c>
      <c r="E94" s="5">
        <v>-26364.28</v>
      </c>
      <c r="F94" s="2" t="s">
        <v>415</v>
      </c>
      <c r="G94" s="6" t="s">
        <v>408</v>
      </c>
      <c r="H94" s="7" t="str">
        <f t="shared" si="1"/>
        <v>Sunline Electrical|-26364.28</v>
      </c>
      <c r="I94" s="7">
        <f t="shared" si="2"/>
        <v>2</v>
      </c>
      <c r="J94" s="7" t="str">
        <f t="shared" si="3"/>
        <v>Duplicate Payment</v>
      </c>
    </row>
    <row r="95">
      <c r="A95" s="2" t="s">
        <v>674</v>
      </c>
      <c r="B95" s="6" t="s">
        <v>675</v>
      </c>
      <c r="C95" s="2" t="s">
        <v>27</v>
      </c>
      <c r="D95" s="2" t="s">
        <v>676</v>
      </c>
      <c r="E95" s="5">
        <v>-26364.28</v>
      </c>
      <c r="F95" s="2" t="s">
        <v>415</v>
      </c>
      <c r="G95" s="6" t="s">
        <v>408</v>
      </c>
      <c r="H95" s="7" t="str">
        <f t="shared" si="1"/>
        <v>Sunline Electrical|-26364.28</v>
      </c>
      <c r="I95" s="7">
        <f t="shared" si="2"/>
        <v>2</v>
      </c>
      <c r="J95" s="7" t="str">
        <f t="shared" si="3"/>
        <v>Duplicate Payment</v>
      </c>
    </row>
    <row r="96">
      <c r="A96" s="2" t="s">
        <v>677</v>
      </c>
      <c r="B96" s="6" t="s">
        <v>444</v>
      </c>
      <c r="C96" s="2" t="s">
        <v>49</v>
      </c>
      <c r="D96" s="2" t="s">
        <v>678</v>
      </c>
      <c r="E96" s="5">
        <v>-22167.46</v>
      </c>
      <c r="F96" s="2" t="s">
        <v>407</v>
      </c>
      <c r="G96" s="6" t="s">
        <v>408</v>
      </c>
      <c r="H96" s="7" t="str">
        <f t="shared" si="1"/>
        <v>Sunshine Equipment|-22167.46</v>
      </c>
      <c r="I96" s="7">
        <f t="shared" si="2"/>
        <v>1</v>
      </c>
      <c r="J96" s="7" t="str">
        <f t="shared" si="3"/>
        <v>OK</v>
      </c>
    </row>
    <row r="97">
      <c r="A97" s="2" t="s">
        <v>679</v>
      </c>
      <c r="B97" s="6" t="s">
        <v>680</v>
      </c>
      <c r="C97" s="2" t="s">
        <v>62</v>
      </c>
      <c r="D97" s="2" t="s">
        <v>681</v>
      </c>
      <c r="E97" s="5">
        <v>-4062.83</v>
      </c>
      <c r="F97" s="2" t="s">
        <v>407</v>
      </c>
      <c r="G97" s="6" t="s">
        <v>408</v>
      </c>
      <c r="H97" s="7" t="str">
        <f t="shared" si="1"/>
        <v>Bay Area Rentals|-4062.83</v>
      </c>
      <c r="I97" s="7">
        <f t="shared" si="2"/>
        <v>1</v>
      </c>
      <c r="J97" s="7" t="str">
        <f t="shared" si="3"/>
        <v>OK</v>
      </c>
    </row>
    <row r="98">
      <c r="A98" s="2" t="s">
        <v>682</v>
      </c>
      <c r="B98" s="6" t="s">
        <v>683</v>
      </c>
      <c r="C98" s="2" t="s">
        <v>42</v>
      </c>
      <c r="D98" s="2" t="s">
        <v>684</v>
      </c>
      <c r="E98" s="5">
        <v>-14610.84</v>
      </c>
      <c r="F98" s="2" t="s">
        <v>407</v>
      </c>
      <c r="G98" s="6" t="s">
        <v>408</v>
      </c>
      <c r="H98" s="7" t="str">
        <f t="shared" si="1"/>
        <v>BrightPower Partners|-14610.84</v>
      </c>
      <c r="I98" s="7">
        <f t="shared" si="2"/>
        <v>1</v>
      </c>
      <c r="J98" s="7" t="str">
        <f t="shared" si="3"/>
        <v>OK</v>
      </c>
    </row>
    <row r="99">
      <c r="A99" s="2" t="s">
        <v>685</v>
      </c>
      <c r="B99" s="6" t="s">
        <v>686</v>
      </c>
      <c r="C99" s="2" t="s">
        <v>18</v>
      </c>
      <c r="D99" s="2" t="s">
        <v>687</v>
      </c>
      <c r="E99" s="5">
        <v>-25302.03</v>
      </c>
      <c r="F99" s="2" t="s">
        <v>407</v>
      </c>
      <c r="G99" s="6" t="s">
        <v>408</v>
      </c>
      <c r="H99" s="7" t="str">
        <f t="shared" si="1"/>
        <v>Tri-County Services|-25302.03</v>
      </c>
      <c r="I99" s="7">
        <f t="shared" si="2"/>
        <v>1</v>
      </c>
      <c r="J99" s="7" t="str">
        <f t="shared" si="3"/>
        <v>OK</v>
      </c>
    </row>
    <row r="100">
      <c r="A100" s="2" t="s">
        <v>688</v>
      </c>
      <c r="B100" s="6" t="s">
        <v>689</v>
      </c>
      <c r="C100" s="2" t="s">
        <v>18</v>
      </c>
      <c r="D100" s="2" t="s">
        <v>690</v>
      </c>
      <c r="E100" s="5">
        <v>-22016.41</v>
      </c>
      <c r="F100" s="2" t="s">
        <v>407</v>
      </c>
      <c r="G100" s="6" t="s">
        <v>408</v>
      </c>
      <c r="H100" s="7" t="str">
        <f t="shared" si="1"/>
        <v>Tri-County Services|-22016.41</v>
      </c>
      <c r="I100" s="7">
        <f t="shared" si="2"/>
        <v>1</v>
      </c>
      <c r="J100" s="7" t="str">
        <f t="shared" si="3"/>
        <v>OK</v>
      </c>
    </row>
    <row r="101">
      <c r="A101" s="2" t="s">
        <v>691</v>
      </c>
      <c r="B101" s="6" t="s">
        <v>692</v>
      </c>
      <c r="C101" s="2" t="s">
        <v>36</v>
      </c>
      <c r="D101" s="2" t="s">
        <v>693</v>
      </c>
      <c r="E101" s="5">
        <v>-8563.18</v>
      </c>
      <c r="F101" s="2" t="s">
        <v>415</v>
      </c>
      <c r="G101" s="6" t="s">
        <v>408</v>
      </c>
      <c r="H101" s="7" t="str">
        <f t="shared" si="1"/>
        <v>Tampa Grid Services|-8563.18</v>
      </c>
      <c r="I101" s="7">
        <f t="shared" si="2"/>
        <v>1</v>
      </c>
      <c r="J101" s="7" t="str">
        <f t="shared" si="3"/>
        <v>OK</v>
      </c>
    </row>
    <row r="102">
      <c r="A102" s="2" t="s">
        <v>694</v>
      </c>
      <c r="B102" s="6" t="s">
        <v>695</v>
      </c>
      <c r="C102" s="2" t="s">
        <v>59</v>
      </c>
      <c r="D102" s="2" t="s">
        <v>696</v>
      </c>
      <c r="E102" s="5">
        <v>-16075.46</v>
      </c>
      <c r="F102" s="2" t="s">
        <v>415</v>
      </c>
      <c r="G102" s="6" t="s">
        <v>408</v>
      </c>
      <c r="H102" s="7" t="str">
        <f t="shared" si="1"/>
        <v>Skyline Engineering|-16075.46</v>
      </c>
      <c r="I102" s="7">
        <f t="shared" si="2"/>
        <v>1</v>
      </c>
      <c r="J102" s="7" t="str">
        <f t="shared" si="3"/>
        <v>OK</v>
      </c>
    </row>
    <row r="103">
      <c r="A103" s="2" t="s">
        <v>697</v>
      </c>
      <c r="B103" s="6" t="s">
        <v>695</v>
      </c>
      <c r="C103" s="2" t="s">
        <v>59</v>
      </c>
      <c r="D103" s="2" t="s">
        <v>698</v>
      </c>
      <c r="E103" s="5">
        <v>-17376.68</v>
      </c>
      <c r="F103" s="2" t="s">
        <v>407</v>
      </c>
      <c r="G103" s="6" t="s">
        <v>408</v>
      </c>
      <c r="H103" s="7" t="str">
        <f t="shared" si="1"/>
        <v>Skyline Engineering|-17376.68</v>
      </c>
      <c r="I103" s="7">
        <f t="shared" si="2"/>
        <v>1</v>
      </c>
      <c r="J103" s="7" t="str">
        <f t="shared" si="3"/>
        <v>OK</v>
      </c>
    </row>
    <row r="104">
      <c r="A104" s="2" t="s">
        <v>699</v>
      </c>
      <c r="B104" s="6" t="s">
        <v>511</v>
      </c>
      <c r="C104" s="2" t="s">
        <v>59</v>
      </c>
      <c r="D104" s="2" t="s">
        <v>700</v>
      </c>
      <c r="E104" s="5">
        <v>-9680.21</v>
      </c>
      <c r="F104" s="2" t="s">
        <v>407</v>
      </c>
      <c r="G104" s="6" t="s">
        <v>408</v>
      </c>
      <c r="H104" s="7" t="str">
        <f t="shared" si="1"/>
        <v>Skyline Engineering|-9680.21</v>
      </c>
      <c r="I104" s="7">
        <f t="shared" si="2"/>
        <v>1</v>
      </c>
      <c r="J104" s="7" t="str">
        <f t="shared" si="3"/>
        <v>OK</v>
      </c>
    </row>
    <row r="105">
      <c r="A105" s="2" t="s">
        <v>701</v>
      </c>
      <c r="B105" s="6" t="s">
        <v>517</v>
      </c>
      <c r="C105" s="2" t="s">
        <v>62</v>
      </c>
      <c r="D105" s="2" t="s">
        <v>702</v>
      </c>
      <c r="E105" s="5">
        <v>-12459.24</v>
      </c>
      <c r="F105" s="2" t="s">
        <v>415</v>
      </c>
      <c r="G105" s="6" t="s">
        <v>408</v>
      </c>
      <c r="H105" s="7" t="str">
        <f t="shared" si="1"/>
        <v>Bay Area Rentals|-12459.24</v>
      </c>
      <c r="I105" s="7">
        <f t="shared" si="2"/>
        <v>1</v>
      </c>
      <c r="J105" s="7" t="str">
        <f t="shared" si="3"/>
        <v>OK</v>
      </c>
    </row>
    <row r="106">
      <c r="A106" s="2" t="s">
        <v>703</v>
      </c>
      <c r="B106" s="6" t="s">
        <v>704</v>
      </c>
      <c r="C106" s="2" t="s">
        <v>23</v>
      </c>
      <c r="D106" s="2" t="s">
        <v>705</v>
      </c>
      <c r="E106" s="5">
        <v>-14619.36</v>
      </c>
      <c r="F106" s="2" t="s">
        <v>415</v>
      </c>
      <c r="G106" s="6" t="s">
        <v>408</v>
      </c>
      <c r="H106" s="7" t="str">
        <f t="shared" si="1"/>
        <v>Atlantic Fiber Co|-14619.36</v>
      </c>
      <c r="I106" s="7">
        <f t="shared" si="2"/>
        <v>1</v>
      </c>
      <c r="J106" s="7" t="str">
        <f t="shared" si="3"/>
        <v>OK</v>
      </c>
    </row>
    <row r="107">
      <c r="A107" s="2" t="s">
        <v>706</v>
      </c>
      <c r="B107" s="6" t="s">
        <v>707</v>
      </c>
      <c r="C107" s="2" t="s">
        <v>49</v>
      </c>
      <c r="D107" s="2" t="s">
        <v>708</v>
      </c>
      <c r="E107" s="5">
        <v>-18618.15</v>
      </c>
      <c r="F107" s="2" t="s">
        <v>407</v>
      </c>
      <c r="G107" s="6" t="s">
        <v>408</v>
      </c>
      <c r="H107" s="7" t="str">
        <f t="shared" si="1"/>
        <v>Sunshine Equipment|-18618.15</v>
      </c>
      <c r="I107" s="7">
        <f t="shared" si="2"/>
        <v>1</v>
      </c>
      <c r="J107" s="7" t="str">
        <f t="shared" si="3"/>
        <v>OK</v>
      </c>
    </row>
    <row r="108">
      <c r="A108" s="2" t="s">
        <v>709</v>
      </c>
      <c r="B108" s="6" t="s">
        <v>710</v>
      </c>
      <c r="C108" s="2" t="s">
        <v>57</v>
      </c>
      <c r="D108" s="2" t="s">
        <v>711</v>
      </c>
      <c r="E108" s="5">
        <v>-16238.5</v>
      </c>
      <c r="F108" s="2" t="s">
        <v>415</v>
      </c>
      <c r="G108" s="6" t="s">
        <v>408</v>
      </c>
      <c r="H108" s="7" t="str">
        <f t="shared" si="1"/>
        <v>Florida Line Crew LLC|-16238.5</v>
      </c>
      <c r="I108" s="7">
        <f t="shared" si="2"/>
        <v>1</v>
      </c>
      <c r="J108" s="7" t="str">
        <f t="shared" si="3"/>
        <v>OK</v>
      </c>
    </row>
    <row r="109">
      <c r="A109" s="2" t="s">
        <v>712</v>
      </c>
      <c r="B109" s="6" t="s">
        <v>713</v>
      </c>
      <c r="C109" s="2" t="s">
        <v>90</v>
      </c>
      <c r="D109" s="2" t="s">
        <v>714</v>
      </c>
      <c r="E109" s="5">
        <v>-9692.92</v>
      </c>
      <c r="F109" s="2" t="s">
        <v>415</v>
      </c>
      <c r="G109" s="6" t="s">
        <v>408</v>
      </c>
      <c r="H109" s="7" t="str">
        <f t="shared" si="1"/>
        <v>Peak Materials Supply|-9692.92</v>
      </c>
      <c r="I109" s="7">
        <f t="shared" si="2"/>
        <v>1</v>
      </c>
      <c r="J109" s="7" t="str">
        <f t="shared" si="3"/>
        <v>OK</v>
      </c>
    </row>
    <row r="110">
      <c r="A110" s="2" t="s">
        <v>715</v>
      </c>
      <c r="B110" s="6" t="s">
        <v>716</v>
      </c>
      <c r="C110" s="2" t="s">
        <v>30</v>
      </c>
      <c r="D110" s="2" t="s">
        <v>717</v>
      </c>
      <c r="E110" s="5">
        <v>-5888.49</v>
      </c>
      <c r="F110" s="2" t="s">
        <v>407</v>
      </c>
      <c r="G110" s="6" t="s">
        <v>408</v>
      </c>
      <c r="H110" s="7" t="str">
        <f t="shared" si="1"/>
        <v>Tidal Contractors|-5888.49</v>
      </c>
      <c r="I110" s="7">
        <f t="shared" si="2"/>
        <v>1</v>
      </c>
      <c r="J110" s="7" t="str">
        <f t="shared" si="3"/>
        <v>OK</v>
      </c>
    </row>
    <row r="111">
      <c r="A111" s="2" t="s">
        <v>718</v>
      </c>
      <c r="B111" s="6" t="s">
        <v>467</v>
      </c>
      <c r="C111" s="2" t="s">
        <v>49</v>
      </c>
      <c r="D111" s="2" t="s">
        <v>719</v>
      </c>
      <c r="E111" s="5">
        <v>-13025.34</v>
      </c>
      <c r="F111" s="2" t="s">
        <v>407</v>
      </c>
      <c r="G111" s="6" t="s">
        <v>408</v>
      </c>
      <c r="H111" s="7" t="str">
        <f t="shared" si="1"/>
        <v>Sunshine Equipment|-13025.34</v>
      </c>
      <c r="I111" s="7">
        <f t="shared" si="2"/>
        <v>1</v>
      </c>
      <c r="J111" s="7" t="str">
        <f t="shared" si="3"/>
        <v>OK</v>
      </c>
    </row>
    <row r="112">
      <c r="A112" s="2" t="s">
        <v>720</v>
      </c>
      <c r="B112" s="6" t="s">
        <v>721</v>
      </c>
      <c r="C112" s="2" t="s">
        <v>30</v>
      </c>
      <c r="D112" s="2" t="s">
        <v>722</v>
      </c>
      <c r="E112" s="5">
        <v>-13174.91</v>
      </c>
      <c r="F112" s="2" t="s">
        <v>407</v>
      </c>
      <c r="G112" s="6" t="s">
        <v>408</v>
      </c>
      <c r="H112" s="7" t="str">
        <f t="shared" si="1"/>
        <v>Tidal Contractors|-13174.91</v>
      </c>
      <c r="I112" s="7">
        <f t="shared" si="2"/>
        <v>1</v>
      </c>
      <c r="J112" s="7" t="str">
        <f t="shared" si="3"/>
        <v>OK</v>
      </c>
    </row>
    <row r="113">
      <c r="A113" s="2" t="s">
        <v>723</v>
      </c>
      <c r="B113" s="6" t="s">
        <v>467</v>
      </c>
      <c r="C113" s="2" t="s">
        <v>23</v>
      </c>
      <c r="D113" s="2" t="s">
        <v>724</v>
      </c>
      <c r="E113" s="5">
        <v>-20280.52</v>
      </c>
      <c r="F113" s="2" t="s">
        <v>407</v>
      </c>
      <c r="G113" s="6" t="s">
        <v>408</v>
      </c>
      <c r="H113" s="7" t="str">
        <f t="shared" si="1"/>
        <v>Atlantic Fiber Co|-20280.52</v>
      </c>
      <c r="I113" s="7">
        <f t="shared" si="2"/>
        <v>1</v>
      </c>
      <c r="J113" s="7" t="str">
        <f t="shared" si="3"/>
        <v>OK</v>
      </c>
    </row>
    <row r="114">
      <c r="A114" s="2" t="s">
        <v>725</v>
      </c>
      <c r="B114" s="6" t="s">
        <v>726</v>
      </c>
      <c r="C114" s="2" t="s">
        <v>42</v>
      </c>
      <c r="D114" s="2" t="s">
        <v>727</v>
      </c>
      <c r="E114" s="5">
        <v>-6826.96</v>
      </c>
      <c r="F114" s="2" t="s">
        <v>415</v>
      </c>
      <c r="G114" s="6" t="s">
        <v>408</v>
      </c>
      <c r="H114" s="7" t="str">
        <f t="shared" si="1"/>
        <v>BrightPower Partners|-6826.96</v>
      </c>
      <c r="I114" s="7">
        <f t="shared" si="2"/>
        <v>1</v>
      </c>
      <c r="J114" s="7" t="str">
        <f t="shared" si="3"/>
        <v>OK</v>
      </c>
    </row>
    <row r="115">
      <c r="A115" s="2" t="s">
        <v>728</v>
      </c>
      <c r="B115" s="6" t="s">
        <v>520</v>
      </c>
      <c r="C115" s="2" t="s">
        <v>90</v>
      </c>
      <c r="D115" s="2" t="s">
        <v>729</v>
      </c>
      <c r="E115" s="5">
        <v>-22468.72</v>
      </c>
      <c r="F115" s="2" t="s">
        <v>415</v>
      </c>
      <c r="G115" s="6" t="s">
        <v>408</v>
      </c>
      <c r="H115" s="7" t="str">
        <f t="shared" si="1"/>
        <v>Peak Materials Supply|-22468.72</v>
      </c>
      <c r="I115" s="7">
        <f t="shared" si="2"/>
        <v>1</v>
      </c>
      <c r="J115" s="7" t="str">
        <f t="shared" si="3"/>
        <v>OK</v>
      </c>
    </row>
    <row r="116">
      <c r="A116" s="2" t="s">
        <v>730</v>
      </c>
      <c r="B116" s="6" t="s">
        <v>669</v>
      </c>
      <c r="C116" s="2" t="s">
        <v>23</v>
      </c>
      <c r="D116" s="2" t="s">
        <v>731</v>
      </c>
      <c r="E116" s="5">
        <v>-16171.25</v>
      </c>
      <c r="F116" s="2" t="s">
        <v>407</v>
      </c>
      <c r="G116" s="6" t="s">
        <v>408</v>
      </c>
      <c r="H116" s="7" t="str">
        <f t="shared" si="1"/>
        <v>Atlantic Fiber Co|-16171.25</v>
      </c>
      <c r="I116" s="7">
        <f t="shared" si="2"/>
        <v>1</v>
      </c>
      <c r="J116" s="7" t="str">
        <f t="shared" si="3"/>
        <v>OK</v>
      </c>
    </row>
    <row r="117">
      <c r="A117" s="2" t="s">
        <v>732</v>
      </c>
      <c r="B117" s="6" t="s">
        <v>733</v>
      </c>
      <c r="C117" s="2" t="s">
        <v>42</v>
      </c>
      <c r="D117" s="2" t="s">
        <v>734</v>
      </c>
      <c r="E117" s="5">
        <v>-19943.56</v>
      </c>
      <c r="F117" s="2" t="s">
        <v>415</v>
      </c>
      <c r="G117" s="6" t="s">
        <v>408</v>
      </c>
      <c r="H117" s="7" t="str">
        <f t="shared" si="1"/>
        <v>BrightPower Partners|-19943.56</v>
      </c>
      <c r="I117" s="7">
        <f t="shared" si="2"/>
        <v>1</v>
      </c>
      <c r="J117" s="7" t="str">
        <f t="shared" si="3"/>
        <v>OK</v>
      </c>
    </row>
    <row r="118">
      <c r="A118" s="2" t="s">
        <v>735</v>
      </c>
      <c r="B118" s="6" t="s">
        <v>736</v>
      </c>
      <c r="C118" s="2" t="s">
        <v>30</v>
      </c>
      <c r="D118" s="2" t="s">
        <v>737</v>
      </c>
      <c r="E118" s="5">
        <v>-8011.45</v>
      </c>
      <c r="F118" s="2" t="s">
        <v>407</v>
      </c>
      <c r="G118" s="6" t="s">
        <v>408</v>
      </c>
      <c r="H118" s="7" t="str">
        <f t="shared" si="1"/>
        <v>Tidal Contractors|-8011.45</v>
      </c>
      <c r="I118" s="7">
        <f t="shared" si="2"/>
        <v>1</v>
      </c>
      <c r="J118" s="7" t="str">
        <f t="shared" si="3"/>
        <v>OK</v>
      </c>
    </row>
    <row r="119">
      <c r="A119" s="2" t="s">
        <v>738</v>
      </c>
      <c r="B119" s="6" t="s">
        <v>739</v>
      </c>
      <c r="C119" s="2" t="s">
        <v>57</v>
      </c>
      <c r="D119" s="2" t="s">
        <v>740</v>
      </c>
      <c r="E119" s="5">
        <v>-725.67</v>
      </c>
      <c r="F119" s="2" t="s">
        <v>407</v>
      </c>
      <c r="G119" s="6" t="s">
        <v>408</v>
      </c>
      <c r="H119" s="7" t="str">
        <f t="shared" si="1"/>
        <v>Florida Line Crew LLC|-725.67</v>
      </c>
      <c r="I119" s="7">
        <f t="shared" si="2"/>
        <v>1</v>
      </c>
      <c r="J119" s="7" t="str">
        <f t="shared" si="3"/>
        <v>OK</v>
      </c>
    </row>
    <row r="120">
      <c r="A120" s="2" t="s">
        <v>741</v>
      </c>
      <c r="B120" s="6" t="s">
        <v>742</v>
      </c>
      <c r="C120" s="2" t="s">
        <v>59</v>
      </c>
      <c r="D120" s="2" t="s">
        <v>743</v>
      </c>
      <c r="E120" s="5">
        <v>-14218.31</v>
      </c>
      <c r="F120" s="2" t="s">
        <v>407</v>
      </c>
      <c r="G120" s="6" t="s">
        <v>408</v>
      </c>
      <c r="H120" s="7" t="str">
        <f t="shared" si="1"/>
        <v>Skyline Engineering|-14218.31</v>
      </c>
      <c r="I120" s="7">
        <f t="shared" si="2"/>
        <v>1</v>
      </c>
      <c r="J120" s="7" t="str">
        <f t="shared" si="3"/>
        <v>OK</v>
      </c>
    </row>
    <row r="121">
      <c r="A121" s="2" t="s">
        <v>744</v>
      </c>
      <c r="B121" s="6" t="s">
        <v>745</v>
      </c>
      <c r="C121" s="2" t="s">
        <v>59</v>
      </c>
      <c r="D121" s="2" t="s">
        <v>746</v>
      </c>
      <c r="E121" s="5">
        <v>-15201.24</v>
      </c>
      <c r="F121" s="2" t="s">
        <v>407</v>
      </c>
      <c r="G121" s="6" t="s">
        <v>408</v>
      </c>
      <c r="H121" s="7" t="str">
        <f t="shared" si="1"/>
        <v>Skyline Engineering|-15201.24</v>
      </c>
      <c r="I121" s="7">
        <f t="shared" si="2"/>
        <v>1</v>
      </c>
      <c r="J121" s="7" t="str">
        <f t="shared" si="3"/>
        <v>OK</v>
      </c>
    </row>
    <row r="122">
      <c r="A122" s="2" t="s">
        <v>747</v>
      </c>
      <c r="B122" s="6" t="s">
        <v>748</v>
      </c>
      <c r="C122" s="2" t="s">
        <v>59</v>
      </c>
      <c r="D122" s="2" t="s">
        <v>749</v>
      </c>
      <c r="E122" s="5">
        <v>-5412.94</v>
      </c>
      <c r="F122" s="2" t="s">
        <v>415</v>
      </c>
      <c r="G122" s="6" t="s">
        <v>408</v>
      </c>
      <c r="H122" s="7" t="str">
        <f t="shared" si="1"/>
        <v>Skyline Engineering|-5412.94</v>
      </c>
      <c r="I122" s="7">
        <f t="shared" si="2"/>
        <v>1</v>
      </c>
      <c r="J122" s="7" t="str">
        <f t="shared" si="3"/>
        <v>OK</v>
      </c>
    </row>
    <row r="123">
      <c r="A123" s="2" t="s">
        <v>750</v>
      </c>
      <c r="B123" s="6" t="s">
        <v>751</v>
      </c>
      <c r="C123" s="2" t="s">
        <v>18</v>
      </c>
      <c r="D123" s="2" t="s">
        <v>752</v>
      </c>
      <c r="E123" s="5">
        <v>-6885.98</v>
      </c>
      <c r="F123" s="2" t="s">
        <v>407</v>
      </c>
      <c r="G123" s="6" t="s">
        <v>408</v>
      </c>
      <c r="H123" s="7" t="str">
        <f t="shared" si="1"/>
        <v>Tri-County Services|-6885.98</v>
      </c>
      <c r="I123" s="7">
        <f t="shared" si="2"/>
        <v>1</v>
      </c>
      <c r="J123" s="7" t="str">
        <f t="shared" si="3"/>
        <v>OK</v>
      </c>
    </row>
    <row r="124">
      <c r="A124" s="2" t="s">
        <v>753</v>
      </c>
      <c r="B124" s="6" t="s">
        <v>754</v>
      </c>
      <c r="C124" s="2" t="s">
        <v>49</v>
      </c>
      <c r="D124" s="2" t="s">
        <v>755</v>
      </c>
      <c r="E124" s="5">
        <v>-1893.56</v>
      </c>
      <c r="F124" s="2" t="s">
        <v>415</v>
      </c>
      <c r="G124" s="6" t="s">
        <v>408</v>
      </c>
      <c r="H124" s="7" t="str">
        <f t="shared" si="1"/>
        <v>Sunshine Equipment|-1893.56</v>
      </c>
      <c r="I124" s="7">
        <f t="shared" si="2"/>
        <v>1</v>
      </c>
      <c r="J124" s="7" t="str">
        <f t="shared" si="3"/>
        <v>OK</v>
      </c>
    </row>
    <row r="125">
      <c r="A125" s="2" t="s">
        <v>756</v>
      </c>
      <c r="B125" s="6" t="s">
        <v>757</v>
      </c>
      <c r="C125" s="2" t="s">
        <v>90</v>
      </c>
      <c r="D125" s="2" t="s">
        <v>758</v>
      </c>
      <c r="E125" s="5">
        <v>-26486.81</v>
      </c>
      <c r="F125" s="2" t="s">
        <v>415</v>
      </c>
      <c r="G125" s="6" t="s">
        <v>408</v>
      </c>
      <c r="H125" s="7" t="str">
        <f t="shared" si="1"/>
        <v>Peak Materials Supply|-26486.81</v>
      </c>
      <c r="I125" s="7">
        <f t="shared" si="2"/>
        <v>1</v>
      </c>
      <c r="J125" s="7" t="str">
        <f t="shared" si="3"/>
        <v>OK</v>
      </c>
    </row>
    <row r="126">
      <c r="A126" s="2" t="s">
        <v>759</v>
      </c>
      <c r="B126" s="6" t="s">
        <v>760</v>
      </c>
      <c r="C126" s="2" t="s">
        <v>90</v>
      </c>
      <c r="D126" s="2" t="s">
        <v>761</v>
      </c>
      <c r="E126" s="5">
        <v>-18400.6</v>
      </c>
      <c r="F126" s="2" t="s">
        <v>407</v>
      </c>
      <c r="G126" s="6" t="s">
        <v>408</v>
      </c>
      <c r="H126" s="7" t="str">
        <f t="shared" si="1"/>
        <v>Peak Materials Supply|-18400.6</v>
      </c>
      <c r="I126" s="7">
        <f t="shared" si="2"/>
        <v>2</v>
      </c>
      <c r="J126" s="7" t="str">
        <f t="shared" si="3"/>
        <v>Duplicate Payment</v>
      </c>
    </row>
    <row r="127">
      <c r="A127" s="2" t="s">
        <v>762</v>
      </c>
      <c r="B127" s="6" t="s">
        <v>491</v>
      </c>
      <c r="C127" s="2" t="s">
        <v>90</v>
      </c>
      <c r="D127" s="2" t="s">
        <v>763</v>
      </c>
      <c r="E127" s="5">
        <v>-18400.6</v>
      </c>
      <c r="F127" s="2" t="s">
        <v>407</v>
      </c>
      <c r="G127" s="6" t="s">
        <v>408</v>
      </c>
      <c r="H127" s="7" t="str">
        <f t="shared" si="1"/>
        <v>Peak Materials Supply|-18400.6</v>
      </c>
      <c r="I127" s="7">
        <f t="shared" si="2"/>
        <v>2</v>
      </c>
      <c r="J127" s="7" t="str">
        <f t="shared" si="3"/>
        <v>Duplicate Payment</v>
      </c>
    </row>
    <row r="128">
      <c r="A128" s="2" t="s">
        <v>764</v>
      </c>
      <c r="B128" s="6" t="s">
        <v>525</v>
      </c>
      <c r="C128" s="2" t="s">
        <v>30</v>
      </c>
      <c r="D128" s="2" t="s">
        <v>765</v>
      </c>
      <c r="E128" s="5">
        <v>-22709.17</v>
      </c>
      <c r="F128" s="2" t="s">
        <v>415</v>
      </c>
      <c r="G128" s="6" t="s">
        <v>408</v>
      </c>
      <c r="H128" s="7" t="str">
        <f t="shared" si="1"/>
        <v>Tidal Contractors|-22709.17</v>
      </c>
      <c r="I128" s="7">
        <f t="shared" si="2"/>
        <v>1</v>
      </c>
      <c r="J128" s="7" t="str">
        <f t="shared" si="3"/>
        <v>OK</v>
      </c>
    </row>
    <row r="129">
      <c r="A129" s="2" t="s">
        <v>766</v>
      </c>
      <c r="B129" s="6" t="s">
        <v>767</v>
      </c>
      <c r="C129" s="2" t="s">
        <v>62</v>
      </c>
      <c r="D129" s="2" t="s">
        <v>768</v>
      </c>
      <c r="E129" s="5">
        <v>-4863.85</v>
      </c>
      <c r="F129" s="2" t="s">
        <v>407</v>
      </c>
      <c r="G129" s="6" t="s">
        <v>408</v>
      </c>
      <c r="H129" s="7" t="str">
        <f t="shared" si="1"/>
        <v>Bay Area Rentals|-4863.85</v>
      </c>
      <c r="I129" s="7">
        <f t="shared" si="2"/>
        <v>1</v>
      </c>
      <c r="J129" s="7" t="str">
        <f t="shared" si="3"/>
        <v>OK</v>
      </c>
    </row>
    <row r="130">
      <c r="A130" s="2" t="s">
        <v>769</v>
      </c>
      <c r="B130" s="6" t="s">
        <v>770</v>
      </c>
      <c r="C130" s="2" t="s">
        <v>40</v>
      </c>
      <c r="D130" s="2" t="s">
        <v>771</v>
      </c>
      <c r="E130" s="5">
        <v>-23420.85</v>
      </c>
      <c r="F130" s="2" t="s">
        <v>407</v>
      </c>
      <c r="G130" s="6" t="s">
        <v>408</v>
      </c>
      <c r="H130" s="7" t="str">
        <f t="shared" si="1"/>
        <v>Gulf Coast Telecom|-23420.85</v>
      </c>
      <c r="I130" s="7">
        <f t="shared" si="2"/>
        <v>1</v>
      </c>
      <c r="J130" s="7" t="str">
        <f t="shared" si="3"/>
        <v>OK</v>
      </c>
    </row>
    <row r="131">
      <c r="A131" s="2" t="s">
        <v>772</v>
      </c>
      <c r="B131" s="6" t="s">
        <v>773</v>
      </c>
      <c r="C131" s="2" t="s">
        <v>40</v>
      </c>
      <c r="D131" s="2" t="s">
        <v>774</v>
      </c>
      <c r="E131" s="5">
        <v>-14696.8</v>
      </c>
      <c r="F131" s="2" t="s">
        <v>407</v>
      </c>
      <c r="G131" s="6" t="s">
        <v>408</v>
      </c>
      <c r="H131" s="7" t="str">
        <f t="shared" si="1"/>
        <v>Gulf Coast Telecom|-14696.8</v>
      </c>
      <c r="I131" s="7">
        <f t="shared" si="2"/>
        <v>1</v>
      </c>
      <c r="J131" s="7" t="str">
        <f t="shared" si="3"/>
        <v>OK</v>
      </c>
    </row>
    <row r="132">
      <c r="A132" s="2" t="s">
        <v>775</v>
      </c>
      <c r="B132" s="6" t="s">
        <v>776</v>
      </c>
      <c r="C132" s="2" t="s">
        <v>57</v>
      </c>
      <c r="D132" s="2" t="s">
        <v>777</v>
      </c>
      <c r="E132" s="5">
        <v>-4146.9</v>
      </c>
      <c r="F132" s="2" t="s">
        <v>415</v>
      </c>
      <c r="G132" s="6" t="s">
        <v>408</v>
      </c>
      <c r="H132" s="7" t="str">
        <f t="shared" si="1"/>
        <v>Florida Line Crew LLC|-4146.9</v>
      </c>
      <c r="I132" s="7">
        <f t="shared" si="2"/>
        <v>1</v>
      </c>
      <c r="J132" s="7" t="str">
        <f t="shared" si="3"/>
        <v>OK</v>
      </c>
    </row>
    <row r="133">
      <c r="A133" s="2" t="s">
        <v>778</v>
      </c>
      <c r="B133" s="6" t="s">
        <v>568</v>
      </c>
      <c r="C133" s="2" t="s">
        <v>42</v>
      </c>
      <c r="D133" s="2" t="s">
        <v>779</v>
      </c>
      <c r="E133" s="5">
        <v>-24080.4</v>
      </c>
      <c r="F133" s="2" t="s">
        <v>415</v>
      </c>
      <c r="G133" s="6" t="s">
        <v>408</v>
      </c>
      <c r="H133" s="7" t="str">
        <f t="shared" si="1"/>
        <v>BrightPower Partners|-24080.4</v>
      </c>
      <c r="I133" s="7">
        <f t="shared" si="2"/>
        <v>1</v>
      </c>
      <c r="J133" s="7" t="str">
        <f t="shared" si="3"/>
        <v>OK</v>
      </c>
    </row>
    <row r="134">
      <c r="A134" s="2" t="s">
        <v>780</v>
      </c>
      <c r="B134" s="6" t="s">
        <v>781</v>
      </c>
      <c r="C134" s="2" t="s">
        <v>49</v>
      </c>
      <c r="D134" s="2" t="s">
        <v>782</v>
      </c>
      <c r="E134" s="5">
        <v>-20847.39</v>
      </c>
      <c r="F134" s="2" t="s">
        <v>415</v>
      </c>
      <c r="G134" s="6" t="s">
        <v>408</v>
      </c>
      <c r="H134" s="7" t="str">
        <f t="shared" si="1"/>
        <v>Sunshine Equipment|-20847.39</v>
      </c>
      <c r="I134" s="7">
        <f t="shared" si="2"/>
        <v>1</v>
      </c>
      <c r="J134" s="7" t="str">
        <f t="shared" si="3"/>
        <v>OK</v>
      </c>
    </row>
    <row r="135">
      <c r="A135" s="2" t="s">
        <v>783</v>
      </c>
      <c r="B135" s="6" t="s">
        <v>784</v>
      </c>
      <c r="C135" s="2" t="s">
        <v>40</v>
      </c>
      <c r="D135" s="2" t="s">
        <v>785</v>
      </c>
      <c r="E135" s="5">
        <v>-9413.86</v>
      </c>
      <c r="F135" s="2" t="s">
        <v>407</v>
      </c>
      <c r="G135" s="6" t="s">
        <v>408</v>
      </c>
      <c r="H135" s="7" t="str">
        <f t="shared" si="1"/>
        <v>Gulf Coast Telecom|-9413.86</v>
      </c>
      <c r="I135" s="7">
        <f t="shared" si="2"/>
        <v>1</v>
      </c>
      <c r="J135" s="7" t="str">
        <f t="shared" si="3"/>
        <v>OK</v>
      </c>
    </row>
    <row r="136">
      <c r="A136" s="2" t="s">
        <v>786</v>
      </c>
      <c r="B136" s="6" t="s">
        <v>787</v>
      </c>
      <c r="C136" s="2" t="s">
        <v>62</v>
      </c>
      <c r="D136" s="2" t="s">
        <v>788</v>
      </c>
      <c r="E136" s="5">
        <v>-4058.29</v>
      </c>
      <c r="F136" s="2" t="s">
        <v>407</v>
      </c>
      <c r="G136" s="6" t="s">
        <v>408</v>
      </c>
      <c r="H136" s="7" t="str">
        <f t="shared" si="1"/>
        <v>Bay Area Rentals|-4058.29</v>
      </c>
      <c r="I136" s="7">
        <f t="shared" si="2"/>
        <v>1</v>
      </c>
      <c r="J136" s="7" t="str">
        <f t="shared" si="3"/>
        <v>OK</v>
      </c>
    </row>
    <row r="137">
      <c r="A137" s="2" t="s">
        <v>789</v>
      </c>
      <c r="B137" s="6" t="s">
        <v>508</v>
      </c>
      <c r="C137" s="2" t="s">
        <v>18</v>
      </c>
      <c r="D137" s="2" t="s">
        <v>790</v>
      </c>
      <c r="E137" s="5">
        <v>-6514.24</v>
      </c>
      <c r="F137" s="2" t="s">
        <v>407</v>
      </c>
      <c r="G137" s="6" t="s">
        <v>408</v>
      </c>
      <c r="H137" s="7" t="str">
        <f t="shared" si="1"/>
        <v>Tri-County Services|-6514.24</v>
      </c>
      <c r="I137" s="7">
        <f t="shared" si="2"/>
        <v>1</v>
      </c>
      <c r="J137" s="7" t="str">
        <f t="shared" si="3"/>
        <v>OK</v>
      </c>
    </row>
    <row r="138">
      <c r="A138" s="2" t="s">
        <v>791</v>
      </c>
      <c r="B138" s="6" t="s">
        <v>626</v>
      </c>
      <c r="C138" s="2" t="s">
        <v>30</v>
      </c>
      <c r="D138" s="2" t="s">
        <v>792</v>
      </c>
      <c r="E138" s="5">
        <v>-15216.25</v>
      </c>
      <c r="F138" s="2" t="s">
        <v>407</v>
      </c>
      <c r="G138" s="6" t="s">
        <v>408</v>
      </c>
      <c r="H138" s="7" t="str">
        <f t="shared" si="1"/>
        <v>Tidal Contractors|-15216.25</v>
      </c>
      <c r="I138" s="7">
        <f t="shared" si="2"/>
        <v>1</v>
      </c>
      <c r="J138" s="7" t="str">
        <f t="shared" si="3"/>
        <v>OK</v>
      </c>
    </row>
    <row r="139">
      <c r="A139" s="2" t="s">
        <v>793</v>
      </c>
      <c r="B139" s="6" t="s">
        <v>794</v>
      </c>
      <c r="C139" s="2" t="s">
        <v>40</v>
      </c>
      <c r="D139" s="2" t="s">
        <v>795</v>
      </c>
      <c r="E139" s="5">
        <v>-25677.14</v>
      </c>
      <c r="F139" s="2" t="s">
        <v>415</v>
      </c>
      <c r="G139" s="6" t="s">
        <v>408</v>
      </c>
      <c r="H139" s="7" t="str">
        <f t="shared" si="1"/>
        <v>Gulf Coast Telecom|-25677.14</v>
      </c>
      <c r="I139" s="7">
        <f t="shared" si="2"/>
        <v>1</v>
      </c>
      <c r="J139" s="7" t="str">
        <f t="shared" si="3"/>
        <v>OK</v>
      </c>
    </row>
    <row r="140">
      <c r="A140" s="2" t="s">
        <v>796</v>
      </c>
      <c r="B140" s="6" t="s">
        <v>531</v>
      </c>
      <c r="C140" s="2" t="s">
        <v>90</v>
      </c>
      <c r="D140" s="2" t="s">
        <v>797</v>
      </c>
      <c r="E140" s="5">
        <v>-8120.85</v>
      </c>
      <c r="F140" s="2" t="s">
        <v>415</v>
      </c>
      <c r="G140" s="6" t="s">
        <v>408</v>
      </c>
      <c r="H140" s="7" t="str">
        <f t="shared" si="1"/>
        <v>Peak Materials Supply|-8120.85</v>
      </c>
      <c r="I140" s="7">
        <f t="shared" si="2"/>
        <v>1</v>
      </c>
      <c r="J140" s="7" t="str">
        <f t="shared" si="3"/>
        <v>OK</v>
      </c>
    </row>
    <row r="141">
      <c r="A141" s="2" t="s">
        <v>798</v>
      </c>
      <c r="B141" s="6" t="s">
        <v>614</v>
      </c>
      <c r="C141" s="2" t="s">
        <v>23</v>
      </c>
      <c r="D141" s="2" t="s">
        <v>799</v>
      </c>
      <c r="E141" s="5">
        <v>-16564.27</v>
      </c>
      <c r="F141" s="2" t="s">
        <v>407</v>
      </c>
      <c r="G141" s="6" t="s">
        <v>408</v>
      </c>
      <c r="H141" s="7" t="str">
        <f t="shared" si="1"/>
        <v>Atlantic Fiber Co|-16564.27</v>
      </c>
      <c r="I141" s="7">
        <f t="shared" si="2"/>
        <v>1</v>
      </c>
      <c r="J141" s="7" t="str">
        <f t="shared" si="3"/>
        <v>OK</v>
      </c>
    </row>
    <row r="142">
      <c r="A142" s="2" t="s">
        <v>800</v>
      </c>
      <c r="B142" s="6" t="s">
        <v>776</v>
      </c>
      <c r="C142" s="2" t="s">
        <v>49</v>
      </c>
      <c r="D142" s="2" t="s">
        <v>801</v>
      </c>
      <c r="E142" s="5">
        <v>-15278.23</v>
      </c>
      <c r="F142" s="2" t="s">
        <v>415</v>
      </c>
      <c r="G142" s="6" t="s">
        <v>408</v>
      </c>
      <c r="H142" s="7" t="str">
        <f t="shared" si="1"/>
        <v>Sunshine Equipment|-15278.23</v>
      </c>
      <c r="I142" s="7">
        <f t="shared" si="2"/>
        <v>1</v>
      </c>
      <c r="J142" s="7" t="str">
        <f t="shared" si="3"/>
        <v>OK</v>
      </c>
    </row>
    <row r="143">
      <c r="A143" s="2" t="s">
        <v>802</v>
      </c>
      <c r="B143" s="6" t="s">
        <v>803</v>
      </c>
      <c r="C143" s="2" t="s">
        <v>62</v>
      </c>
      <c r="D143" s="2" t="s">
        <v>804</v>
      </c>
      <c r="E143" s="5">
        <v>-20559.27</v>
      </c>
      <c r="F143" s="2" t="s">
        <v>415</v>
      </c>
      <c r="G143" s="6" t="s">
        <v>408</v>
      </c>
      <c r="H143" s="7" t="str">
        <f t="shared" si="1"/>
        <v>Bay Area Rentals|-20559.27</v>
      </c>
      <c r="I143" s="7">
        <f t="shared" si="2"/>
        <v>1</v>
      </c>
      <c r="J143" s="7" t="str">
        <f t="shared" si="3"/>
        <v>OK</v>
      </c>
    </row>
    <row r="144">
      <c r="A144" s="2" t="s">
        <v>805</v>
      </c>
      <c r="B144" s="6" t="s">
        <v>806</v>
      </c>
      <c r="C144" s="2" t="s">
        <v>40</v>
      </c>
      <c r="D144" s="2" t="s">
        <v>807</v>
      </c>
      <c r="E144" s="5">
        <v>-26229.47</v>
      </c>
      <c r="F144" s="2" t="s">
        <v>415</v>
      </c>
      <c r="G144" s="6" t="s">
        <v>408</v>
      </c>
      <c r="H144" s="7" t="str">
        <f t="shared" si="1"/>
        <v>Gulf Coast Telecom|-26229.47</v>
      </c>
      <c r="I144" s="7">
        <f t="shared" si="2"/>
        <v>1</v>
      </c>
      <c r="J144" s="7" t="str">
        <f t="shared" si="3"/>
        <v>OK</v>
      </c>
    </row>
    <row r="145">
      <c r="A145" s="2" t="s">
        <v>808</v>
      </c>
      <c r="B145" s="6" t="s">
        <v>809</v>
      </c>
      <c r="C145" s="2" t="s">
        <v>27</v>
      </c>
      <c r="D145" s="2" t="s">
        <v>810</v>
      </c>
      <c r="E145" s="5">
        <v>-8699.51</v>
      </c>
      <c r="F145" s="2" t="s">
        <v>415</v>
      </c>
      <c r="G145" s="6" t="s">
        <v>408</v>
      </c>
      <c r="H145" s="7" t="str">
        <f t="shared" si="1"/>
        <v>Sunline Electrical|-8699.51</v>
      </c>
      <c r="I145" s="7">
        <f t="shared" si="2"/>
        <v>1</v>
      </c>
      <c r="J145" s="7" t="str">
        <f t="shared" si="3"/>
        <v>OK</v>
      </c>
    </row>
    <row r="146">
      <c r="A146" s="2" t="s">
        <v>811</v>
      </c>
      <c r="B146" s="6" t="s">
        <v>812</v>
      </c>
      <c r="C146" s="2" t="s">
        <v>49</v>
      </c>
      <c r="D146" s="2" t="s">
        <v>813</v>
      </c>
      <c r="E146" s="5">
        <v>-19858.17</v>
      </c>
      <c r="F146" s="2" t="s">
        <v>407</v>
      </c>
      <c r="G146" s="6" t="s">
        <v>408</v>
      </c>
      <c r="H146" s="7" t="str">
        <f t="shared" si="1"/>
        <v>Sunshine Equipment|-19858.17</v>
      </c>
      <c r="I146" s="7">
        <f t="shared" si="2"/>
        <v>1</v>
      </c>
      <c r="J146" s="7" t="str">
        <f t="shared" si="3"/>
        <v>OK</v>
      </c>
    </row>
    <row r="147">
      <c r="A147" s="2" t="s">
        <v>814</v>
      </c>
      <c r="B147" s="6" t="s">
        <v>815</v>
      </c>
      <c r="C147" s="2" t="s">
        <v>49</v>
      </c>
      <c r="D147" s="2" t="s">
        <v>816</v>
      </c>
      <c r="E147" s="5">
        <v>-3497.52</v>
      </c>
      <c r="F147" s="2" t="s">
        <v>407</v>
      </c>
      <c r="G147" s="6" t="s">
        <v>408</v>
      </c>
      <c r="H147" s="7" t="str">
        <f t="shared" si="1"/>
        <v>Sunshine Equipment|-3497.52</v>
      </c>
      <c r="I147" s="7">
        <f t="shared" si="2"/>
        <v>1</v>
      </c>
      <c r="J147" s="7" t="str">
        <f t="shared" si="3"/>
        <v>OK</v>
      </c>
    </row>
    <row r="148">
      <c r="A148" s="2" t="s">
        <v>817</v>
      </c>
      <c r="B148" s="6" t="s">
        <v>818</v>
      </c>
      <c r="C148" s="2" t="s">
        <v>23</v>
      </c>
      <c r="D148" s="2" t="s">
        <v>819</v>
      </c>
      <c r="E148" s="5">
        <v>-24382.27</v>
      </c>
      <c r="F148" s="2" t="s">
        <v>407</v>
      </c>
      <c r="G148" s="6" t="s">
        <v>408</v>
      </c>
      <c r="H148" s="7" t="str">
        <f t="shared" si="1"/>
        <v>Atlantic Fiber Co|-24382.27</v>
      </c>
      <c r="I148" s="7">
        <f t="shared" si="2"/>
        <v>1</v>
      </c>
      <c r="J148" s="7" t="str">
        <f t="shared" si="3"/>
        <v>OK</v>
      </c>
    </row>
    <row r="149">
      <c r="A149" s="2" t="s">
        <v>820</v>
      </c>
      <c r="B149" s="6" t="s">
        <v>821</v>
      </c>
      <c r="C149" s="2" t="s">
        <v>27</v>
      </c>
      <c r="D149" s="2" t="s">
        <v>822</v>
      </c>
      <c r="E149" s="5">
        <v>-8907.12</v>
      </c>
      <c r="F149" s="2" t="s">
        <v>415</v>
      </c>
      <c r="G149" s="6" t="s">
        <v>408</v>
      </c>
      <c r="H149" s="7" t="str">
        <f t="shared" si="1"/>
        <v>Sunline Electrical|-8907.12</v>
      </c>
      <c r="I149" s="7">
        <f t="shared" si="2"/>
        <v>1</v>
      </c>
      <c r="J149" s="7" t="str">
        <f t="shared" si="3"/>
        <v>OK</v>
      </c>
    </row>
    <row r="150">
      <c r="A150" s="2" t="s">
        <v>823</v>
      </c>
      <c r="B150" s="6" t="s">
        <v>824</v>
      </c>
      <c r="C150" s="2" t="s">
        <v>49</v>
      </c>
      <c r="D150" s="2" t="s">
        <v>825</v>
      </c>
      <c r="E150" s="5">
        <v>-18013.42</v>
      </c>
      <c r="F150" s="2" t="s">
        <v>415</v>
      </c>
      <c r="G150" s="6" t="s">
        <v>408</v>
      </c>
      <c r="H150" s="7" t="str">
        <f t="shared" si="1"/>
        <v>Sunshine Equipment|-18013.42</v>
      </c>
      <c r="I150" s="7">
        <f t="shared" si="2"/>
        <v>1</v>
      </c>
      <c r="J150" s="7" t="str">
        <f t="shared" si="3"/>
        <v>OK</v>
      </c>
    </row>
    <row r="151">
      <c r="A151" s="2" t="s">
        <v>826</v>
      </c>
      <c r="B151" s="6" t="s">
        <v>491</v>
      </c>
      <c r="C151" s="2" t="s">
        <v>49</v>
      </c>
      <c r="D151" s="2" t="s">
        <v>827</v>
      </c>
      <c r="E151" s="5">
        <v>-8700.46</v>
      </c>
      <c r="F151" s="2" t="s">
        <v>407</v>
      </c>
      <c r="G151" s="6" t="s">
        <v>408</v>
      </c>
      <c r="H151" s="7" t="str">
        <f t="shared" si="1"/>
        <v>Sunshine Equipment|-8700.46</v>
      </c>
      <c r="I151" s="7">
        <f t="shared" si="2"/>
        <v>1</v>
      </c>
      <c r="J151" s="7" t="str">
        <f t="shared" si="3"/>
        <v>OK</v>
      </c>
    </row>
    <row r="152">
      <c r="A152" s="2" t="s">
        <v>828</v>
      </c>
      <c r="B152" s="6" t="s">
        <v>417</v>
      </c>
      <c r="C152" s="2" t="s">
        <v>57</v>
      </c>
      <c r="D152" s="2" t="s">
        <v>829</v>
      </c>
      <c r="E152" s="5">
        <v>-12869.56</v>
      </c>
      <c r="F152" s="2" t="s">
        <v>407</v>
      </c>
      <c r="G152" s="6" t="s">
        <v>408</v>
      </c>
      <c r="H152" s="7" t="str">
        <f t="shared" si="1"/>
        <v>Florida Line Crew LLC|-12869.56</v>
      </c>
      <c r="I152" s="7">
        <f t="shared" si="2"/>
        <v>1</v>
      </c>
      <c r="J152" s="7" t="str">
        <f t="shared" si="3"/>
        <v>OK</v>
      </c>
    </row>
    <row r="153">
      <c r="A153" s="2" t="s">
        <v>830</v>
      </c>
      <c r="B153" s="6" t="s">
        <v>583</v>
      </c>
      <c r="C153" s="2" t="s">
        <v>59</v>
      </c>
      <c r="D153" s="2" t="s">
        <v>831</v>
      </c>
      <c r="E153" s="5">
        <v>-2284.53</v>
      </c>
      <c r="F153" s="2" t="s">
        <v>415</v>
      </c>
      <c r="G153" s="6" t="s">
        <v>408</v>
      </c>
      <c r="H153" s="7" t="str">
        <f t="shared" si="1"/>
        <v>Skyline Engineering|-2284.53</v>
      </c>
      <c r="I153" s="7">
        <f t="shared" si="2"/>
        <v>1</v>
      </c>
      <c r="J153" s="7" t="str">
        <f t="shared" si="3"/>
        <v>OK</v>
      </c>
    </row>
    <row r="154">
      <c r="A154" s="2" t="s">
        <v>832</v>
      </c>
      <c r="B154" s="6" t="s">
        <v>695</v>
      </c>
      <c r="C154" s="2" t="s">
        <v>42</v>
      </c>
      <c r="D154" s="2" t="s">
        <v>833</v>
      </c>
      <c r="E154" s="5">
        <v>-13208.15</v>
      </c>
      <c r="F154" s="2" t="s">
        <v>407</v>
      </c>
      <c r="G154" s="6" t="s">
        <v>408</v>
      </c>
      <c r="H154" s="7" t="str">
        <f t="shared" si="1"/>
        <v>BrightPower Partners|-13208.15</v>
      </c>
      <c r="I154" s="7">
        <f t="shared" si="2"/>
        <v>1</v>
      </c>
      <c r="J154" s="7" t="str">
        <f t="shared" si="3"/>
        <v>OK</v>
      </c>
    </row>
    <row r="155">
      <c r="A155" s="2" t="s">
        <v>834</v>
      </c>
      <c r="B155" s="6" t="s">
        <v>726</v>
      </c>
      <c r="C155" s="2" t="s">
        <v>49</v>
      </c>
      <c r="D155" s="2" t="s">
        <v>835</v>
      </c>
      <c r="E155" s="5">
        <v>-9343.78</v>
      </c>
      <c r="F155" s="2" t="s">
        <v>407</v>
      </c>
      <c r="G155" s="6" t="s">
        <v>408</v>
      </c>
      <c r="H155" s="7" t="str">
        <f t="shared" si="1"/>
        <v>Sunshine Equipment|-9343.78</v>
      </c>
      <c r="I155" s="7">
        <f t="shared" si="2"/>
        <v>1</v>
      </c>
      <c r="J155" s="7" t="str">
        <f t="shared" si="3"/>
        <v>OK</v>
      </c>
    </row>
    <row r="156">
      <c r="A156" s="2" t="s">
        <v>836</v>
      </c>
      <c r="B156" s="6" t="s">
        <v>754</v>
      </c>
      <c r="C156" s="2" t="s">
        <v>57</v>
      </c>
      <c r="D156" s="2" t="s">
        <v>837</v>
      </c>
      <c r="E156" s="5">
        <v>-23948.71</v>
      </c>
      <c r="F156" s="2" t="s">
        <v>407</v>
      </c>
      <c r="G156" s="6" t="s">
        <v>408</v>
      </c>
      <c r="H156" s="7" t="str">
        <f t="shared" si="1"/>
        <v>Florida Line Crew LLC|-23948.71</v>
      </c>
      <c r="I156" s="7">
        <f t="shared" si="2"/>
        <v>1</v>
      </c>
      <c r="J156" s="7" t="str">
        <f t="shared" si="3"/>
        <v>OK</v>
      </c>
    </row>
    <row r="157">
      <c r="A157" s="2" t="s">
        <v>838</v>
      </c>
      <c r="B157" s="6" t="s">
        <v>502</v>
      </c>
      <c r="C157" s="2" t="s">
        <v>62</v>
      </c>
      <c r="D157" s="2" t="s">
        <v>839</v>
      </c>
      <c r="E157" s="5">
        <v>-17808.69</v>
      </c>
      <c r="F157" s="2" t="s">
        <v>407</v>
      </c>
      <c r="G157" s="6" t="s">
        <v>408</v>
      </c>
      <c r="H157" s="7" t="str">
        <f t="shared" si="1"/>
        <v>Bay Area Rentals|-17808.69</v>
      </c>
      <c r="I157" s="7">
        <f t="shared" si="2"/>
        <v>1</v>
      </c>
      <c r="J157" s="7" t="str">
        <f t="shared" si="3"/>
        <v>OK</v>
      </c>
    </row>
    <row r="158">
      <c r="A158" s="2" t="s">
        <v>840</v>
      </c>
      <c r="B158" s="6" t="s">
        <v>841</v>
      </c>
      <c r="C158" s="2" t="s">
        <v>36</v>
      </c>
      <c r="D158" s="2" t="s">
        <v>842</v>
      </c>
      <c r="E158" s="5">
        <v>-3264.21</v>
      </c>
      <c r="F158" s="2" t="s">
        <v>407</v>
      </c>
      <c r="G158" s="6" t="s">
        <v>408</v>
      </c>
      <c r="H158" s="7" t="str">
        <f t="shared" si="1"/>
        <v>Tampa Grid Services|-3264.21</v>
      </c>
      <c r="I158" s="7">
        <f t="shared" si="2"/>
        <v>1</v>
      </c>
      <c r="J158" s="7" t="str">
        <f t="shared" si="3"/>
        <v>OK</v>
      </c>
    </row>
    <row r="159">
      <c r="A159" s="2" t="s">
        <v>843</v>
      </c>
      <c r="B159" s="6" t="s">
        <v>467</v>
      </c>
      <c r="C159" s="2" t="s">
        <v>49</v>
      </c>
      <c r="D159" s="2" t="s">
        <v>844</v>
      </c>
      <c r="E159" s="5">
        <v>-19340.31</v>
      </c>
      <c r="F159" s="2" t="s">
        <v>407</v>
      </c>
      <c r="G159" s="6" t="s">
        <v>408</v>
      </c>
      <c r="H159" s="7" t="str">
        <f t="shared" si="1"/>
        <v>Sunshine Equipment|-19340.31</v>
      </c>
      <c r="I159" s="7">
        <f t="shared" si="2"/>
        <v>1</v>
      </c>
      <c r="J159" s="7" t="str">
        <f t="shared" si="3"/>
        <v>OK</v>
      </c>
    </row>
    <row r="160">
      <c r="A160" s="2" t="s">
        <v>845</v>
      </c>
      <c r="B160" s="6" t="s">
        <v>846</v>
      </c>
      <c r="C160" s="2" t="s">
        <v>59</v>
      </c>
      <c r="D160" s="2" t="s">
        <v>847</v>
      </c>
      <c r="E160" s="5">
        <v>-20753.22</v>
      </c>
      <c r="F160" s="2" t="s">
        <v>415</v>
      </c>
      <c r="G160" s="6" t="s">
        <v>408</v>
      </c>
      <c r="H160" s="7" t="str">
        <f t="shared" si="1"/>
        <v>Skyline Engineering|-20753.22</v>
      </c>
      <c r="I160" s="7">
        <f t="shared" si="2"/>
        <v>1</v>
      </c>
      <c r="J160" s="7" t="str">
        <f t="shared" si="3"/>
        <v>OK</v>
      </c>
    </row>
    <row r="161">
      <c r="A161" s="2" t="s">
        <v>848</v>
      </c>
      <c r="B161" s="6" t="s">
        <v>849</v>
      </c>
      <c r="C161" s="2" t="s">
        <v>23</v>
      </c>
      <c r="D161" s="2" t="s">
        <v>850</v>
      </c>
      <c r="E161" s="5">
        <v>-7301.5</v>
      </c>
      <c r="F161" s="2" t="s">
        <v>407</v>
      </c>
      <c r="G161" s="6" t="s">
        <v>408</v>
      </c>
      <c r="H161" s="7" t="str">
        <f t="shared" si="1"/>
        <v>Atlantic Fiber Co|-7301.5</v>
      </c>
      <c r="I161" s="7">
        <f t="shared" si="2"/>
        <v>1</v>
      </c>
      <c r="J161" s="7" t="str">
        <f t="shared" si="3"/>
        <v>OK</v>
      </c>
    </row>
    <row r="162">
      <c r="A162" s="2" t="s">
        <v>851</v>
      </c>
      <c r="B162" s="6" t="s">
        <v>852</v>
      </c>
      <c r="C162" s="2" t="s">
        <v>42</v>
      </c>
      <c r="D162" s="2" t="s">
        <v>853</v>
      </c>
      <c r="E162" s="5">
        <v>-11215.08</v>
      </c>
      <c r="F162" s="2" t="s">
        <v>407</v>
      </c>
      <c r="G162" s="6" t="s">
        <v>408</v>
      </c>
      <c r="H162" s="7" t="str">
        <f t="shared" si="1"/>
        <v>BrightPower Partners|-11215.08</v>
      </c>
      <c r="I162" s="7">
        <f t="shared" si="2"/>
        <v>1</v>
      </c>
      <c r="J162" s="7" t="str">
        <f t="shared" si="3"/>
        <v>OK</v>
      </c>
    </row>
    <row r="163">
      <c r="A163" s="2" t="s">
        <v>854</v>
      </c>
      <c r="B163" s="6" t="s">
        <v>855</v>
      </c>
      <c r="C163" s="2" t="s">
        <v>90</v>
      </c>
      <c r="D163" s="2" t="s">
        <v>856</v>
      </c>
      <c r="E163" s="5">
        <v>-12883.98</v>
      </c>
      <c r="F163" s="2" t="s">
        <v>415</v>
      </c>
      <c r="G163" s="6" t="s">
        <v>408</v>
      </c>
      <c r="H163" s="7" t="str">
        <f t="shared" si="1"/>
        <v>Peak Materials Supply|-12883.98</v>
      </c>
      <c r="I163" s="7">
        <f t="shared" si="2"/>
        <v>1</v>
      </c>
      <c r="J163" s="7" t="str">
        <f t="shared" si="3"/>
        <v>OK</v>
      </c>
    </row>
    <row r="164">
      <c r="A164" s="2" t="s">
        <v>857</v>
      </c>
      <c r="B164" s="6" t="s">
        <v>858</v>
      </c>
      <c r="C164" s="2" t="s">
        <v>18</v>
      </c>
      <c r="D164" s="2" t="s">
        <v>859</v>
      </c>
      <c r="E164" s="5">
        <v>-17141.64</v>
      </c>
      <c r="F164" s="2" t="s">
        <v>407</v>
      </c>
      <c r="G164" s="6" t="s">
        <v>408</v>
      </c>
      <c r="H164" s="7" t="str">
        <f t="shared" si="1"/>
        <v>Tri-County Services|-17141.64</v>
      </c>
      <c r="I164" s="7">
        <f t="shared" si="2"/>
        <v>1</v>
      </c>
      <c r="J164" s="7" t="str">
        <f t="shared" si="3"/>
        <v>OK</v>
      </c>
    </row>
    <row r="165">
      <c r="A165" s="2" t="s">
        <v>860</v>
      </c>
      <c r="B165" s="6" t="s">
        <v>861</v>
      </c>
      <c r="C165" s="2" t="s">
        <v>30</v>
      </c>
      <c r="D165" s="2" t="s">
        <v>862</v>
      </c>
      <c r="E165" s="5">
        <v>-19415.11</v>
      </c>
      <c r="F165" s="2" t="s">
        <v>407</v>
      </c>
      <c r="G165" s="6" t="s">
        <v>408</v>
      </c>
      <c r="H165" s="7" t="str">
        <f t="shared" si="1"/>
        <v>Tidal Contractors|-19415.11</v>
      </c>
      <c r="I165" s="7">
        <f t="shared" si="2"/>
        <v>1</v>
      </c>
      <c r="J165" s="7" t="str">
        <f t="shared" si="3"/>
        <v>OK</v>
      </c>
    </row>
    <row r="166">
      <c r="A166" s="2" t="s">
        <v>863</v>
      </c>
      <c r="B166" s="6" t="s">
        <v>598</v>
      </c>
      <c r="C166" s="2" t="s">
        <v>49</v>
      </c>
      <c r="D166" s="2" t="s">
        <v>864</v>
      </c>
      <c r="E166" s="5">
        <v>-11031.79</v>
      </c>
      <c r="F166" s="2" t="s">
        <v>415</v>
      </c>
      <c r="G166" s="6" t="s">
        <v>408</v>
      </c>
      <c r="H166" s="7" t="str">
        <f t="shared" si="1"/>
        <v>Sunshine Equipment|-11031.79</v>
      </c>
      <c r="I166" s="7">
        <f t="shared" si="2"/>
        <v>1</v>
      </c>
      <c r="J166" s="7" t="str">
        <f t="shared" si="3"/>
        <v>OK</v>
      </c>
    </row>
    <row r="167">
      <c r="A167" s="2" t="s">
        <v>865</v>
      </c>
      <c r="B167" s="6" t="s">
        <v>866</v>
      </c>
      <c r="C167" s="2" t="s">
        <v>30</v>
      </c>
      <c r="D167" s="2" t="s">
        <v>867</v>
      </c>
      <c r="E167" s="5">
        <v>-25785.35</v>
      </c>
      <c r="F167" s="2" t="s">
        <v>407</v>
      </c>
      <c r="G167" s="6" t="s">
        <v>408</v>
      </c>
      <c r="H167" s="7" t="str">
        <f t="shared" si="1"/>
        <v>Tidal Contractors|-25785.35</v>
      </c>
      <c r="I167" s="7">
        <f t="shared" si="2"/>
        <v>1</v>
      </c>
      <c r="J167" s="7" t="str">
        <f t="shared" si="3"/>
        <v>OK</v>
      </c>
    </row>
    <row r="168">
      <c r="A168" s="2" t="s">
        <v>868</v>
      </c>
      <c r="B168" s="6" t="s">
        <v>869</v>
      </c>
      <c r="C168" s="2" t="s">
        <v>90</v>
      </c>
      <c r="D168" s="2" t="s">
        <v>870</v>
      </c>
      <c r="E168" s="5">
        <v>-2313.31</v>
      </c>
      <c r="F168" s="2" t="s">
        <v>407</v>
      </c>
      <c r="G168" s="6" t="s">
        <v>408</v>
      </c>
      <c r="H168" s="7" t="str">
        <f t="shared" si="1"/>
        <v>Peak Materials Supply|-2313.31</v>
      </c>
      <c r="I168" s="7">
        <f t="shared" si="2"/>
        <v>1</v>
      </c>
      <c r="J168" s="7" t="str">
        <f t="shared" si="3"/>
        <v>OK</v>
      </c>
    </row>
    <row r="169">
      <c r="A169" s="2" t="s">
        <v>871</v>
      </c>
      <c r="B169" s="6" t="s">
        <v>598</v>
      </c>
      <c r="C169" s="2" t="s">
        <v>59</v>
      </c>
      <c r="D169" s="2" t="s">
        <v>872</v>
      </c>
      <c r="E169" s="5">
        <v>-8324.04</v>
      </c>
      <c r="F169" s="2" t="s">
        <v>415</v>
      </c>
      <c r="G169" s="6" t="s">
        <v>408</v>
      </c>
      <c r="H169" s="7" t="str">
        <f t="shared" si="1"/>
        <v>Skyline Engineering|-8324.04</v>
      </c>
      <c r="I169" s="7">
        <f t="shared" si="2"/>
        <v>1</v>
      </c>
      <c r="J169" s="7" t="str">
        <f t="shared" si="3"/>
        <v>OK</v>
      </c>
    </row>
    <row r="170">
      <c r="A170" s="2" t="s">
        <v>873</v>
      </c>
      <c r="B170" s="6" t="s">
        <v>874</v>
      </c>
      <c r="C170" s="2" t="s">
        <v>49</v>
      </c>
      <c r="D170" s="2" t="s">
        <v>875</v>
      </c>
      <c r="E170" s="5">
        <v>-4055.02</v>
      </c>
      <c r="F170" s="2" t="s">
        <v>415</v>
      </c>
      <c r="G170" s="6" t="s">
        <v>408</v>
      </c>
      <c r="H170" s="7" t="str">
        <f t="shared" si="1"/>
        <v>Sunshine Equipment|-4055.02</v>
      </c>
      <c r="I170" s="7">
        <f t="shared" si="2"/>
        <v>1</v>
      </c>
      <c r="J170" s="7" t="str">
        <f t="shared" si="3"/>
        <v>OK</v>
      </c>
    </row>
    <row r="171">
      <c r="A171" s="2" t="s">
        <v>876</v>
      </c>
      <c r="B171" s="6" t="s">
        <v>877</v>
      </c>
      <c r="C171" s="2" t="s">
        <v>59</v>
      </c>
      <c r="D171" s="2" t="s">
        <v>878</v>
      </c>
      <c r="E171" s="5">
        <v>-16059.57</v>
      </c>
      <c r="F171" s="2" t="s">
        <v>407</v>
      </c>
      <c r="G171" s="6" t="s">
        <v>408</v>
      </c>
      <c r="H171" s="7" t="str">
        <f t="shared" si="1"/>
        <v>Skyline Engineering|-16059.57</v>
      </c>
      <c r="I171" s="7">
        <f t="shared" si="2"/>
        <v>1</v>
      </c>
      <c r="J171" s="7" t="str">
        <f t="shared" si="3"/>
        <v>OK</v>
      </c>
    </row>
    <row r="172">
      <c r="A172" s="2" t="s">
        <v>879</v>
      </c>
      <c r="B172" s="6" t="s">
        <v>880</v>
      </c>
      <c r="C172" s="2" t="s">
        <v>27</v>
      </c>
      <c r="D172" s="2" t="s">
        <v>881</v>
      </c>
      <c r="E172" s="5">
        <v>-19103.48</v>
      </c>
      <c r="F172" s="2" t="s">
        <v>415</v>
      </c>
      <c r="G172" s="6" t="s">
        <v>408</v>
      </c>
      <c r="H172" s="7" t="str">
        <f t="shared" si="1"/>
        <v>Sunline Electrical|-19103.48</v>
      </c>
      <c r="I172" s="7">
        <f t="shared" si="2"/>
        <v>1</v>
      </c>
      <c r="J172" s="7" t="str">
        <f t="shared" si="3"/>
        <v>OK</v>
      </c>
    </row>
    <row r="173">
      <c r="A173" s="2" t="s">
        <v>882</v>
      </c>
      <c r="B173" s="6" t="s">
        <v>883</v>
      </c>
      <c r="C173" s="2" t="s">
        <v>23</v>
      </c>
      <c r="D173" s="2" t="s">
        <v>884</v>
      </c>
      <c r="E173" s="5">
        <v>-2561.59</v>
      </c>
      <c r="F173" s="2" t="s">
        <v>407</v>
      </c>
      <c r="G173" s="6" t="s">
        <v>408</v>
      </c>
      <c r="H173" s="7" t="str">
        <f t="shared" si="1"/>
        <v>Atlantic Fiber Co|-2561.59</v>
      </c>
      <c r="I173" s="7">
        <f t="shared" si="2"/>
        <v>1</v>
      </c>
      <c r="J173" s="7" t="str">
        <f t="shared" si="3"/>
        <v>OK</v>
      </c>
    </row>
    <row r="174">
      <c r="A174" s="2" t="s">
        <v>885</v>
      </c>
      <c r="B174" s="6" t="s">
        <v>733</v>
      </c>
      <c r="C174" s="2" t="s">
        <v>18</v>
      </c>
      <c r="D174" s="2" t="s">
        <v>886</v>
      </c>
      <c r="E174" s="5">
        <v>-9904.49</v>
      </c>
      <c r="F174" s="2" t="s">
        <v>415</v>
      </c>
      <c r="G174" s="6" t="s">
        <v>408</v>
      </c>
      <c r="H174" s="7" t="str">
        <f t="shared" si="1"/>
        <v>Tri-County Services|-9904.49</v>
      </c>
      <c r="I174" s="7">
        <f t="shared" si="2"/>
        <v>1</v>
      </c>
      <c r="J174" s="7" t="str">
        <f t="shared" si="3"/>
        <v>OK</v>
      </c>
    </row>
    <row r="175">
      <c r="A175" s="2" t="s">
        <v>887</v>
      </c>
      <c r="B175" s="6" t="s">
        <v>888</v>
      </c>
      <c r="C175" s="2" t="s">
        <v>18</v>
      </c>
      <c r="D175" s="2" t="s">
        <v>889</v>
      </c>
      <c r="E175" s="5">
        <v>-12112.77</v>
      </c>
      <c r="F175" s="2" t="s">
        <v>415</v>
      </c>
      <c r="G175" s="6" t="s">
        <v>408</v>
      </c>
      <c r="H175" s="7" t="str">
        <f t="shared" si="1"/>
        <v>Tri-County Services|-12112.77</v>
      </c>
      <c r="I175" s="7">
        <f t="shared" si="2"/>
        <v>1</v>
      </c>
      <c r="J175" s="7" t="str">
        <f t="shared" si="3"/>
        <v>OK</v>
      </c>
    </row>
    <row r="176">
      <c r="A176" s="2" t="s">
        <v>890</v>
      </c>
      <c r="B176" s="6" t="s">
        <v>540</v>
      </c>
      <c r="C176" s="2" t="s">
        <v>90</v>
      </c>
      <c r="D176" s="2" t="s">
        <v>891</v>
      </c>
      <c r="E176" s="5">
        <v>-19545.88</v>
      </c>
      <c r="F176" s="2" t="s">
        <v>415</v>
      </c>
      <c r="G176" s="6" t="s">
        <v>408</v>
      </c>
      <c r="H176" s="7" t="str">
        <f t="shared" si="1"/>
        <v>Peak Materials Supply|-19545.88</v>
      </c>
      <c r="I176" s="7">
        <f t="shared" si="2"/>
        <v>1</v>
      </c>
      <c r="J176" s="7" t="str">
        <f t="shared" si="3"/>
        <v>OK</v>
      </c>
    </row>
    <row r="177">
      <c r="A177" s="2" t="s">
        <v>892</v>
      </c>
      <c r="B177" s="6" t="s">
        <v>476</v>
      </c>
      <c r="C177" s="2" t="s">
        <v>49</v>
      </c>
      <c r="D177" s="2" t="s">
        <v>893</v>
      </c>
      <c r="E177" s="5">
        <v>-18619.17</v>
      </c>
      <c r="F177" s="2" t="s">
        <v>415</v>
      </c>
      <c r="G177" s="6" t="s">
        <v>408</v>
      </c>
      <c r="H177" s="7" t="str">
        <f t="shared" si="1"/>
        <v>Sunshine Equipment|-18619.17</v>
      </c>
      <c r="I177" s="7">
        <f t="shared" si="2"/>
        <v>1</v>
      </c>
      <c r="J177" s="7" t="str">
        <f t="shared" si="3"/>
        <v>OK</v>
      </c>
    </row>
    <row r="178">
      <c r="A178" s="2" t="s">
        <v>894</v>
      </c>
      <c r="B178" s="6" t="s">
        <v>895</v>
      </c>
      <c r="C178" s="2" t="s">
        <v>23</v>
      </c>
      <c r="D178" s="2" t="s">
        <v>896</v>
      </c>
      <c r="E178" s="5">
        <v>-23572.5</v>
      </c>
      <c r="F178" s="2" t="s">
        <v>415</v>
      </c>
      <c r="G178" s="6" t="s">
        <v>408</v>
      </c>
      <c r="H178" s="7" t="str">
        <f t="shared" si="1"/>
        <v>Atlantic Fiber Co|-23572.5</v>
      </c>
      <c r="I178" s="7">
        <f t="shared" si="2"/>
        <v>1</v>
      </c>
      <c r="J178" s="7" t="str">
        <f t="shared" si="3"/>
        <v>OK</v>
      </c>
    </row>
    <row r="179">
      <c r="A179" s="2" t="s">
        <v>897</v>
      </c>
      <c r="B179" s="6" t="s">
        <v>898</v>
      </c>
      <c r="C179" s="2" t="s">
        <v>18</v>
      </c>
      <c r="D179" s="2" t="s">
        <v>899</v>
      </c>
      <c r="E179" s="5">
        <v>-3557.12</v>
      </c>
      <c r="F179" s="2" t="s">
        <v>415</v>
      </c>
      <c r="G179" s="6" t="s">
        <v>408</v>
      </c>
      <c r="H179" s="7" t="str">
        <f t="shared" si="1"/>
        <v>Tri-County Services|-3557.12</v>
      </c>
      <c r="I179" s="7">
        <f t="shared" si="2"/>
        <v>1</v>
      </c>
      <c r="J179" s="7" t="str">
        <f t="shared" si="3"/>
        <v>OK</v>
      </c>
    </row>
    <row r="180">
      <c r="A180" s="2" t="s">
        <v>900</v>
      </c>
      <c r="B180" s="6" t="s">
        <v>901</v>
      </c>
      <c r="C180" s="2" t="s">
        <v>36</v>
      </c>
      <c r="D180" s="2" t="s">
        <v>902</v>
      </c>
      <c r="E180" s="5">
        <v>-16166.21</v>
      </c>
      <c r="F180" s="2" t="s">
        <v>407</v>
      </c>
      <c r="G180" s="6" t="s">
        <v>408</v>
      </c>
      <c r="H180" s="7" t="str">
        <f t="shared" si="1"/>
        <v>Tampa Grid Services|-16166.21</v>
      </c>
      <c r="I180" s="7">
        <f t="shared" si="2"/>
        <v>1</v>
      </c>
      <c r="J180" s="7" t="str">
        <f t="shared" si="3"/>
        <v>OK</v>
      </c>
    </row>
    <row r="181">
      <c r="A181" s="2" t="s">
        <v>903</v>
      </c>
      <c r="B181" s="6" t="s">
        <v>904</v>
      </c>
      <c r="C181" s="2" t="s">
        <v>23</v>
      </c>
      <c r="D181" s="2" t="s">
        <v>905</v>
      </c>
      <c r="E181" s="5">
        <v>-18700.42</v>
      </c>
      <c r="F181" s="2" t="s">
        <v>407</v>
      </c>
      <c r="G181" s="6" t="s">
        <v>408</v>
      </c>
      <c r="H181" s="7" t="str">
        <f t="shared" si="1"/>
        <v>Atlantic Fiber Co|-18700.42</v>
      </c>
      <c r="I181" s="7">
        <f t="shared" si="2"/>
        <v>1</v>
      </c>
      <c r="J181" s="7" t="str">
        <f t="shared" si="3"/>
        <v>OK</v>
      </c>
    </row>
    <row r="182">
      <c r="A182" s="2" t="s">
        <v>906</v>
      </c>
      <c r="B182" s="6" t="s">
        <v>907</v>
      </c>
      <c r="C182" s="2" t="s">
        <v>23</v>
      </c>
      <c r="D182" s="2" t="s">
        <v>908</v>
      </c>
      <c r="E182" s="5">
        <v>-26372.98</v>
      </c>
      <c r="F182" s="2" t="s">
        <v>407</v>
      </c>
      <c r="G182" s="6" t="s">
        <v>408</v>
      </c>
      <c r="H182" s="7" t="str">
        <f t="shared" si="1"/>
        <v>Atlantic Fiber Co|-26372.98</v>
      </c>
      <c r="I182" s="7">
        <f t="shared" si="2"/>
        <v>1</v>
      </c>
      <c r="J182" s="7" t="str">
        <f t="shared" si="3"/>
        <v>OK</v>
      </c>
    </row>
    <row r="183">
      <c r="A183" s="2" t="s">
        <v>909</v>
      </c>
      <c r="B183" s="6" t="s">
        <v>497</v>
      </c>
      <c r="C183" s="2" t="s">
        <v>27</v>
      </c>
      <c r="D183" s="2" t="s">
        <v>910</v>
      </c>
      <c r="E183" s="5">
        <v>-25099.58</v>
      </c>
      <c r="F183" s="2" t="s">
        <v>415</v>
      </c>
      <c r="G183" s="6" t="s">
        <v>408</v>
      </c>
      <c r="H183" s="7" t="str">
        <f t="shared" si="1"/>
        <v>Sunline Electrical|-25099.58</v>
      </c>
      <c r="I183" s="7">
        <f t="shared" si="2"/>
        <v>1</v>
      </c>
      <c r="J183" s="7" t="str">
        <f t="shared" si="3"/>
        <v>OK</v>
      </c>
    </row>
    <row r="184">
      <c r="A184" s="2" t="s">
        <v>911</v>
      </c>
      <c r="B184" s="6" t="s">
        <v>912</v>
      </c>
      <c r="C184" s="2" t="s">
        <v>49</v>
      </c>
      <c r="D184" s="2" t="s">
        <v>913</v>
      </c>
      <c r="E184" s="5">
        <v>-10968.15</v>
      </c>
      <c r="F184" s="2" t="s">
        <v>407</v>
      </c>
      <c r="G184" s="6" t="s">
        <v>408</v>
      </c>
      <c r="H184" s="7" t="str">
        <f t="shared" si="1"/>
        <v>Sunshine Equipment|-10968.15</v>
      </c>
      <c r="I184" s="7">
        <f t="shared" si="2"/>
        <v>1</v>
      </c>
      <c r="J184" s="7" t="str">
        <f t="shared" si="3"/>
        <v>OK</v>
      </c>
    </row>
    <row r="185">
      <c r="A185" s="2" t="s">
        <v>914</v>
      </c>
      <c r="B185" s="6" t="s">
        <v>915</v>
      </c>
      <c r="C185" s="2" t="s">
        <v>30</v>
      </c>
      <c r="D185" s="2" t="s">
        <v>916</v>
      </c>
      <c r="E185" s="5">
        <v>-26209.69</v>
      </c>
      <c r="F185" s="2" t="s">
        <v>415</v>
      </c>
      <c r="G185" s="6" t="s">
        <v>408</v>
      </c>
      <c r="H185" s="7" t="str">
        <f t="shared" si="1"/>
        <v>Tidal Contractors|-26209.69</v>
      </c>
      <c r="I185" s="7">
        <f t="shared" si="2"/>
        <v>1</v>
      </c>
      <c r="J185" s="7" t="str">
        <f t="shared" si="3"/>
        <v>OK</v>
      </c>
    </row>
    <row r="186">
      <c r="A186" s="2" t="s">
        <v>917</v>
      </c>
      <c r="B186" s="6" t="s">
        <v>634</v>
      </c>
      <c r="C186" s="2" t="s">
        <v>62</v>
      </c>
      <c r="D186" s="2" t="s">
        <v>918</v>
      </c>
      <c r="E186" s="5">
        <v>-22998.69</v>
      </c>
      <c r="F186" s="2" t="s">
        <v>407</v>
      </c>
      <c r="G186" s="6" t="s">
        <v>408</v>
      </c>
      <c r="H186" s="7" t="str">
        <f t="shared" si="1"/>
        <v>Bay Area Rentals|-22998.69</v>
      </c>
      <c r="I186" s="7">
        <f t="shared" si="2"/>
        <v>1</v>
      </c>
      <c r="J186" s="7" t="str">
        <f t="shared" si="3"/>
        <v>OK</v>
      </c>
    </row>
    <row r="187">
      <c r="A187" s="2" t="s">
        <v>919</v>
      </c>
      <c r="B187" s="6" t="s">
        <v>920</v>
      </c>
      <c r="C187" s="2" t="s">
        <v>40</v>
      </c>
      <c r="D187" s="2" t="s">
        <v>921</v>
      </c>
      <c r="E187" s="5">
        <v>-24513.56</v>
      </c>
      <c r="F187" s="2" t="s">
        <v>407</v>
      </c>
      <c r="G187" s="6" t="s">
        <v>408</v>
      </c>
      <c r="H187" s="7" t="str">
        <f t="shared" si="1"/>
        <v>Gulf Coast Telecom|-24513.56</v>
      </c>
      <c r="I187" s="7">
        <f t="shared" si="2"/>
        <v>1</v>
      </c>
      <c r="J187" s="7" t="str">
        <f t="shared" si="3"/>
        <v>OK</v>
      </c>
    </row>
    <row r="188">
      <c r="A188" s="2" t="s">
        <v>922</v>
      </c>
      <c r="B188" s="6" t="s">
        <v>923</v>
      </c>
      <c r="C188" s="2" t="s">
        <v>59</v>
      </c>
      <c r="D188" s="2" t="s">
        <v>924</v>
      </c>
      <c r="E188" s="5">
        <v>-3031.14</v>
      </c>
      <c r="F188" s="2" t="s">
        <v>415</v>
      </c>
      <c r="G188" s="6" t="s">
        <v>408</v>
      </c>
      <c r="H188" s="7" t="str">
        <f t="shared" si="1"/>
        <v>Skyline Engineering|-3031.14</v>
      </c>
      <c r="I188" s="7">
        <f t="shared" si="2"/>
        <v>1</v>
      </c>
      <c r="J188" s="7" t="str">
        <f t="shared" si="3"/>
        <v>OK</v>
      </c>
    </row>
    <row r="189">
      <c r="A189" s="2" t="s">
        <v>925</v>
      </c>
      <c r="B189" s="6" t="s">
        <v>926</v>
      </c>
      <c r="C189" s="2" t="s">
        <v>42</v>
      </c>
      <c r="D189" s="2" t="s">
        <v>927</v>
      </c>
      <c r="E189" s="5">
        <v>-12789.08</v>
      </c>
      <c r="F189" s="2" t="s">
        <v>415</v>
      </c>
      <c r="G189" s="6" t="s">
        <v>408</v>
      </c>
      <c r="H189" s="7" t="str">
        <f t="shared" si="1"/>
        <v>BrightPower Partners|-12789.08</v>
      </c>
      <c r="I189" s="7">
        <f t="shared" si="2"/>
        <v>1</v>
      </c>
      <c r="J189" s="7" t="str">
        <f t="shared" si="3"/>
        <v>OK</v>
      </c>
    </row>
    <row r="190">
      <c r="A190" s="2" t="s">
        <v>928</v>
      </c>
      <c r="B190" s="6" t="s">
        <v>929</v>
      </c>
      <c r="C190" s="2" t="s">
        <v>49</v>
      </c>
      <c r="D190" s="2" t="s">
        <v>930</v>
      </c>
      <c r="E190" s="5">
        <v>-22206.04</v>
      </c>
      <c r="F190" s="2" t="s">
        <v>415</v>
      </c>
      <c r="G190" s="6" t="s">
        <v>408</v>
      </c>
      <c r="H190" s="7" t="str">
        <f t="shared" si="1"/>
        <v>Sunshine Equipment|-22206.04</v>
      </c>
      <c r="I190" s="7">
        <f t="shared" si="2"/>
        <v>1</v>
      </c>
      <c r="J190" s="7" t="str">
        <f t="shared" si="3"/>
        <v>OK</v>
      </c>
    </row>
    <row r="191">
      <c r="A191" s="2" t="s">
        <v>931</v>
      </c>
      <c r="B191" s="6" t="s">
        <v>932</v>
      </c>
      <c r="C191" s="2" t="s">
        <v>62</v>
      </c>
      <c r="D191" s="2" t="s">
        <v>933</v>
      </c>
      <c r="E191" s="5">
        <v>-25629.84</v>
      </c>
      <c r="F191" s="2" t="s">
        <v>407</v>
      </c>
      <c r="G191" s="6" t="s">
        <v>408</v>
      </c>
      <c r="H191" s="7" t="str">
        <f t="shared" si="1"/>
        <v>Bay Area Rentals|-25629.84</v>
      </c>
      <c r="I191" s="7">
        <f t="shared" si="2"/>
        <v>1</v>
      </c>
      <c r="J191" s="7" t="str">
        <f t="shared" si="3"/>
        <v>OK</v>
      </c>
    </row>
    <row r="192">
      <c r="A192" s="2" t="s">
        <v>934</v>
      </c>
      <c r="B192" s="6" t="s">
        <v>935</v>
      </c>
      <c r="C192" s="2" t="s">
        <v>18</v>
      </c>
      <c r="D192" s="2" t="s">
        <v>936</v>
      </c>
      <c r="E192" s="5">
        <v>-6812.06</v>
      </c>
      <c r="F192" s="2" t="s">
        <v>407</v>
      </c>
      <c r="G192" s="6" t="s">
        <v>408</v>
      </c>
      <c r="H192" s="7" t="str">
        <f t="shared" si="1"/>
        <v>Tri-County Services|-6812.06</v>
      </c>
      <c r="I192" s="7">
        <f t="shared" si="2"/>
        <v>1</v>
      </c>
      <c r="J192" s="7" t="str">
        <f t="shared" si="3"/>
        <v>OK</v>
      </c>
    </row>
    <row r="193">
      <c r="A193" s="2" t="s">
        <v>937</v>
      </c>
      <c r="B193" s="6" t="s">
        <v>869</v>
      </c>
      <c r="C193" s="2" t="s">
        <v>40</v>
      </c>
      <c r="D193" s="2" t="s">
        <v>938</v>
      </c>
      <c r="E193" s="5">
        <v>-10922.49</v>
      </c>
      <c r="F193" s="2" t="s">
        <v>407</v>
      </c>
      <c r="G193" s="6" t="s">
        <v>408</v>
      </c>
      <c r="H193" s="7" t="str">
        <f t="shared" si="1"/>
        <v>Gulf Coast Telecom|-10922.49</v>
      </c>
      <c r="I193" s="7">
        <f t="shared" si="2"/>
        <v>1</v>
      </c>
      <c r="J193" s="7" t="str">
        <f t="shared" si="3"/>
        <v>OK</v>
      </c>
    </row>
    <row r="194">
      <c r="A194" s="2" t="s">
        <v>939</v>
      </c>
      <c r="B194" s="6" t="s">
        <v>940</v>
      </c>
      <c r="C194" s="2" t="s">
        <v>30</v>
      </c>
      <c r="D194" s="2" t="s">
        <v>941</v>
      </c>
      <c r="E194" s="5">
        <v>-22024.5</v>
      </c>
      <c r="F194" s="2" t="s">
        <v>407</v>
      </c>
      <c r="G194" s="6" t="s">
        <v>408</v>
      </c>
      <c r="H194" s="7" t="str">
        <f t="shared" si="1"/>
        <v>Tidal Contractors|-22024.5</v>
      </c>
      <c r="I194" s="7">
        <f t="shared" si="2"/>
        <v>1</v>
      </c>
      <c r="J194" s="7" t="str">
        <f t="shared" si="3"/>
        <v>OK</v>
      </c>
    </row>
    <row r="195">
      <c r="A195" s="2" t="s">
        <v>942</v>
      </c>
      <c r="B195" s="6" t="s">
        <v>943</v>
      </c>
      <c r="C195" s="2" t="s">
        <v>59</v>
      </c>
      <c r="D195" s="2" t="s">
        <v>944</v>
      </c>
      <c r="E195" s="5">
        <v>-22875.25</v>
      </c>
      <c r="F195" s="2" t="s">
        <v>415</v>
      </c>
      <c r="G195" s="6" t="s">
        <v>408</v>
      </c>
      <c r="H195" s="7" t="str">
        <f t="shared" si="1"/>
        <v>Skyline Engineering|-22875.25</v>
      </c>
      <c r="I195" s="7">
        <f t="shared" si="2"/>
        <v>1</v>
      </c>
      <c r="J195" s="7" t="str">
        <f t="shared" si="3"/>
        <v>OK</v>
      </c>
    </row>
    <row r="196">
      <c r="A196" s="2" t="s">
        <v>945</v>
      </c>
      <c r="B196" s="6" t="s">
        <v>946</v>
      </c>
      <c r="C196" s="2" t="s">
        <v>36</v>
      </c>
      <c r="D196" s="2" t="s">
        <v>947</v>
      </c>
      <c r="E196" s="5">
        <v>-2802.21</v>
      </c>
      <c r="F196" s="2" t="s">
        <v>407</v>
      </c>
      <c r="G196" s="6" t="s">
        <v>408</v>
      </c>
      <c r="H196" s="7" t="str">
        <f t="shared" si="1"/>
        <v>Tampa Grid Services|-2802.21</v>
      </c>
      <c r="I196" s="7">
        <f t="shared" si="2"/>
        <v>1</v>
      </c>
      <c r="J196" s="7" t="str">
        <f t="shared" si="3"/>
        <v>OK</v>
      </c>
    </row>
    <row r="197">
      <c r="A197" s="2" t="s">
        <v>948</v>
      </c>
      <c r="B197" s="6" t="s">
        <v>661</v>
      </c>
      <c r="C197" s="2" t="s">
        <v>36</v>
      </c>
      <c r="D197" s="2" t="s">
        <v>949</v>
      </c>
      <c r="E197" s="5">
        <v>-13072.2</v>
      </c>
      <c r="F197" s="2" t="s">
        <v>407</v>
      </c>
      <c r="G197" s="6" t="s">
        <v>408</v>
      </c>
      <c r="H197" s="7" t="str">
        <f t="shared" si="1"/>
        <v>Tampa Grid Services|-13072.2</v>
      </c>
      <c r="I197" s="7">
        <f t="shared" si="2"/>
        <v>2</v>
      </c>
      <c r="J197" s="7" t="str">
        <f t="shared" si="3"/>
        <v>Duplicate Payment</v>
      </c>
    </row>
    <row r="198">
      <c r="A198" s="2" t="s">
        <v>950</v>
      </c>
      <c r="B198" s="6" t="s">
        <v>742</v>
      </c>
      <c r="C198" s="2" t="s">
        <v>36</v>
      </c>
      <c r="D198" s="2" t="s">
        <v>951</v>
      </c>
      <c r="E198" s="5">
        <v>-13072.2</v>
      </c>
      <c r="F198" s="2" t="s">
        <v>407</v>
      </c>
      <c r="G198" s="6" t="s">
        <v>408</v>
      </c>
      <c r="H198" s="7" t="str">
        <f t="shared" si="1"/>
        <v>Tampa Grid Services|-13072.2</v>
      </c>
      <c r="I198" s="7">
        <f t="shared" si="2"/>
        <v>2</v>
      </c>
      <c r="J198" s="7" t="str">
        <f t="shared" si="3"/>
        <v>Duplicate Payment</v>
      </c>
    </row>
    <row r="199">
      <c r="A199" s="2" t="s">
        <v>952</v>
      </c>
      <c r="B199" s="6" t="s">
        <v>904</v>
      </c>
      <c r="C199" s="2" t="s">
        <v>27</v>
      </c>
      <c r="D199" s="2" t="s">
        <v>953</v>
      </c>
      <c r="E199" s="5">
        <v>-17111.4</v>
      </c>
      <c r="F199" s="2" t="s">
        <v>407</v>
      </c>
      <c r="G199" s="6" t="s">
        <v>408</v>
      </c>
      <c r="H199" s="7" t="str">
        <f t="shared" si="1"/>
        <v>Sunline Electrical|-17111.4</v>
      </c>
      <c r="I199" s="7">
        <f t="shared" si="2"/>
        <v>1</v>
      </c>
      <c r="J199" s="7" t="str">
        <f t="shared" si="3"/>
        <v>OK</v>
      </c>
    </row>
    <row r="200">
      <c r="A200" s="2" t="s">
        <v>954</v>
      </c>
      <c r="B200" s="6" t="s">
        <v>955</v>
      </c>
      <c r="C200" s="2" t="s">
        <v>36</v>
      </c>
      <c r="D200" s="2" t="s">
        <v>956</v>
      </c>
      <c r="E200" s="5">
        <v>-23076.14</v>
      </c>
      <c r="F200" s="2" t="s">
        <v>407</v>
      </c>
      <c r="G200" s="6" t="s">
        <v>408</v>
      </c>
      <c r="H200" s="7" t="str">
        <f t="shared" si="1"/>
        <v>Tampa Grid Services|-23076.14</v>
      </c>
      <c r="I200" s="7">
        <f t="shared" si="2"/>
        <v>1</v>
      </c>
      <c r="J200" s="7" t="str">
        <f t="shared" si="3"/>
        <v>OK</v>
      </c>
    </row>
    <row r="201">
      <c r="A201" s="2" t="s">
        <v>957</v>
      </c>
      <c r="B201" s="6" t="s">
        <v>958</v>
      </c>
      <c r="C201" s="2" t="s">
        <v>62</v>
      </c>
      <c r="D201" s="2" t="s">
        <v>959</v>
      </c>
      <c r="E201" s="5">
        <v>-9247.63</v>
      </c>
      <c r="F201" s="2" t="s">
        <v>415</v>
      </c>
      <c r="G201" s="6" t="s">
        <v>408</v>
      </c>
      <c r="H201" s="7" t="str">
        <f t="shared" si="1"/>
        <v>Bay Area Rentals|-9247.63</v>
      </c>
      <c r="I201" s="7">
        <f t="shared" si="2"/>
        <v>1</v>
      </c>
      <c r="J201" s="7" t="str">
        <f t="shared" si="3"/>
        <v>OK</v>
      </c>
    </row>
    <row r="202">
      <c r="A202" s="2" t="s">
        <v>960</v>
      </c>
      <c r="B202" s="6" t="s">
        <v>961</v>
      </c>
      <c r="C202" s="2" t="s">
        <v>90</v>
      </c>
      <c r="D202" s="2" t="s">
        <v>962</v>
      </c>
      <c r="E202" s="5">
        <v>-20473.91</v>
      </c>
      <c r="F202" s="2" t="s">
        <v>415</v>
      </c>
      <c r="G202" s="6" t="s">
        <v>408</v>
      </c>
      <c r="H202" s="7" t="str">
        <f t="shared" si="1"/>
        <v>Peak Materials Supply|-20473.91</v>
      </c>
      <c r="I202" s="7">
        <f t="shared" si="2"/>
        <v>1</v>
      </c>
      <c r="J202" s="7" t="str">
        <f t="shared" si="3"/>
        <v>OK</v>
      </c>
    </row>
    <row r="203">
      <c r="A203" s="2" t="s">
        <v>963</v>
      </c>
      <c r="B203" s="6" t="s">
        <v>964</v>
      </c>
      <c r="C203" s="2" t="s">
        <v>90</v>
      </c>
      <c r="D203" s="2" t="s">
        <v>965</v>
      </c>
      <c r="E203" s="5">
        <v>-19838.91</v>
      </c>
      <c r="F203" s="2" t="s">
        <v>407</v>
      </c>
      <c r="G203" s="6" t="s">
        <v>408</v>
      </c>
      <c r="H203" s="7" t="str">
        <f t="shared" si="1"/>
        <v>Peak Materials Supply|-19838.91</v>
      </c>
      <c r="I203" s="7">
        <f t="shared" si="2"/>
        <v>1</v>
      </c>
      <c r="J203" s="7" t="str">
        <f t="shared" si="3"/>
        <v>OK</v>
      </c>
    </row>
    <row r="204">
      <c r="A204" s="2" t="s">
        <v>966</v>
      </c>
      <c r="B204" s="6" t="s">
        <v>598</v>
      </c>
      <c r="C204" s="2" t="s">
        <v>62</v>
      </c>
      <c r="D204" s="2" t="s">
        <v>967</v>
      </c>
      <c r="E204" s="5">
        <v>-7282.32</v>
      </c>
      <c r="F204" s="2" t="s">
        <v>407</v>
      </c>
      <c r="G204" s="6" t="s">
        <v>408</v>
      </c>
      <c r="H204" s="7" t="str">
        <f t="shared" si="1"/>
        <v>Bay Area Rentals|-7282.32</v>
      </c>
      <c r="I204" s="7">
        <f t="shared" si="2"/>
        <v>1</v>
      </c>
      <c r="J204" s="7" t="str">
        <f t="shared" si="3"/>
        <v>OK</v>
      </c>
    </row>
    <row r="205">
      <c r="A205" s="2" t="s">
        <v>968</v>
      </c>
      <c r="B205" s="6" t="s">
        <v>969</v>
      </c>
      <c r="C205" s="2" t="s">
        <v>62</v>
      </c>
      <c r="D205" s="2" t="s">
        <v>970</v>
      </c>
      <c r="E205" s="5">
        <v>-15140.24</v>
      </c>
      <c r="F205" s="2" t="s">
        <v>415</v>
      </c>
      <c r="G205" s="6" t="s">
        <v>408</v>
      </c>
      <c r="H205" s="7" t="str">
        <f t="shared" si="1"/>
        <v>Bay Area Rentals|-15140.24</v>
      </c>
      <c r="I205" s="7">
        <f t="shared" si="2"/>
        <v>1</v>
      </c>
      <c r="J205" s="7" t="str">
        <f t="shared" si="3"/>
        <v>OK</v>
      </c>
    </row>
    <row r="206">
      <c r="A206" s="2" t="s">
        <v>971</v>
      </c>
      <c r="B206" s="6" t="s">
        <v>972</v>
      </c>
      <c r="C206" s="2" t="s">
        <v>23</v>
      </c>
      <c r="D206" s="2" t="s">
        <v>973</v>
      </c>
      <c r="E206" s="5">
        <v>-20198.39</v>
      </c>
      <c r="F206" s="2" t="s">
        <v>407</v>
      </c>
      <c r="G206" s="6" t="s">
        <v>408</v>
      </c>
      <c r="H206" s="7" t="str">
        <f t="shared" si="1"/>
        <v>Atlantic Fiber Co|-20198.39</v>
      </c>
      <c r="I206" s="7">
        <f t="shared" si="2"/>
        <v>1</v>
      </c>
      <c r="J206" s="7" t="str">
        <f t="shared" si="3"/>
        <v>OK</v>
      </c>
    </row>
    <row r="207">
      <c r="A207" s="2" t="s">
        <v>974</v>
      </c>
      <c r="B207" s="6" t="s">
        <v>726</v>
      </c>
      <c r="C207" s="2" t="s">
        <v>30</v>
      </c>
      <c r="D207" s="2" t="s">
        <v>975</v>
      </c>
      <c r="E207" s="5">
        <v>-25812.95</v>
      </c>
      <c r="F207" s="2" t="s">
        <v>407</v>
      </c>
      <c r="G207" s="6" t="s">
        <v>408</v>
      </c>
      <c r="H207" s="7" t="str">
        <f t="shared" si="1"/>
        <v>Tidal Contractors|-25812.95</v>
      </c>
      <c r="I207" s="7">
        <f t="shared" si="2"/>
        <v>1</v>
      </c>
      <c r="J207" s="7" t="str">
        <f t="shared" si="3"/>
        <v>OK</v>
      </c>
    </row>
    <row r="208">
      <c r="A208" s="2" t="s">
        <v>976</v>
      </c>
      <c r="B208" s="6" t="s">
        <v>977</v>
      </c>
      <c r="C208" s="2" t="s">
        <v>40</v>
      </c>
      <c r="D208" s="2" t="s">
        <v>978</v>
      </c>
      <c r="E208" s="5">
        <v>-22174.1</v>
      </c>
      <c r="F208" s="2" t="s">
        <v>415</v>
      </c>
      <c r="G208" s="6" t="s">
        <v>408</v>
      </c>
      <c r="H208" s="7" t="str">
        <f t="shared" si="1"/>
        <v>Gulf Coast Telecom|-22174.1</v>
      </c>
      <c r="I208" s="7">
        <f t="shared" si="2"/>
        <v>1</v>
      </c>
      <c r="J208" s="7" t="str">
        <f t="shared" si="3"/>
        <v>OK</v>
      </c>
    </row>
    <row r="209">
      <c r="A209" s="2" t="s">
        <v>979</v>
      </c>
      <c r="B209" s="6" t="s">
        <v>980</v>
      </c>
      <c r="C209" s="2" t="s">
        <v>49</v>
      </c>
      <c r="D209" s="2" t="s">
        <v>981</v>
      </c>
      <c r="E209" s="5">
        <v>-4657.63</v>
      </c>
      <c r="F209" s="2" t="s">
        <v>407</v>
      </c>
      <c r="G209" s="6" t="s">
        <v>408</v>
      </c>
      <c r="H209" s="7" t="str">
        <f t="shared" si="1"/>
        <v>Sunshine Equipment|-4657.63</v>
      </c>
      <c r="I209" s="7">
        <f t="shared" si="2"/>
        <v>1</v>
      </c>
      <c r="J209" s="7" t="str">
        <f t="shared" si="3"/>
        <v>OK</v>
      </c>
    </row>
    <row r="210">
      <c r="A210" s="2" t="s">
        <v>982</v>
      </c>
      <c r="B210" s="6" t="s">
        <v>983</v>
      </c>
      <c r="C210" s="2" t="s">
        <v>42</v>
      </c>
      <c r="D210" s="2" t="s">
        <v>984</v>
      </c>
      <c r="E210" s="5">
        <v>-4779.31</v>
      </c>
      <c r="F210" s="2" t="s">
        <v>407</v>
      </c>
      <c r="G210" s="6" t="s">
        <v>408</v>
      </c>
      <c r="H210" s="7" t="str">
        <f t="shared" si="1"/>
        <v>BrightPower Partners|-4779.31</v>
      </c>
      <c r="I210" s="7">
        <f t="shared" si="2"/>
        <v>1</v>
      </c>
      <c r="J210" s="7" t="str">
        <f t="shared" si="3"/>
        <v>OK</v>
      </c>
    </row>
    <row r="211">
      <c r="A211" s="2" t="s">
        <v>985</v>
      </c>
      <c r="B211" s="6" t="s">
        <v>450</v>
      </c>
      <c r="C211" s="2" t="s">
        <v>27</v>
      </c>
      <c r="D211" s="2" t="s">
        <v>986</v>
      </c>
      <c r="E211" s="5">
        <v>-2682.03</v>
      </c>
      <c r="F211" s="2" t="s">
        <v>407</v>
      </c>
      <c r="G211" s="6" t="s">
        <v>408</v>
      </c>
      <c r="H211" s="7" t="str">
        <f t="shared" si="1"/>
        <v>Sunline Electrical|-2682.03</v>
      </c>
      <c r="I211" s="7">
        <f t="shared" si="2"/>
        <v>1</v>
      </c>
      <c r="J211" s="7" t="str">
        <f t="shared" si="3"/>
        <v>OK</v>
      </c>
    </row>
    <row r="212">
      <c r="A212" s="2" t="s">
        <v>987</v>
      </c>
      <c r="B212" s="6" t="s">
        <v>595</v>
      </c>
      <c r="C212" s="2" t="s">
        <v>40</v>
      </c>
      <c r="D212" s="2" t="s">
        <v>988</v>
      </c>
      <c r="E212" s="5">
        <v>-25545.26</v>
      </c>
      <c r="F212" s="2" t="s">
        <v>407</v>
      </c>
      <c r="G212" s="6" t="s">
        <v>408</v>
      </c>
      <c r="H212" s="7" t="str">
        <f t="shared" si="1"/>
        <v>Gulf Coast Telecom|-25545.26</v>
      </c>
      <c r="I212" s="7">
        <f t="shared" si="2"/>
        <v>1</v>
      </c>
      <c r="J212" s="7" t="str">
        <f t="shared" si="3"/>
        <v>OK</v>
      </c>
    </row>
    <row r="213">
      <c r="A213" s="2" t="s">
        <v>989</v>
      </c>
      <c r="B213" s="6" t="s">
        <v>990</v>
      </c>
      <c r="C213" s="2" t="s">
        <v>59</v>
      </c>
      <c r="D213" s="2" t="s">
        <v>991</v>
      </c>
      <c r="E213" s="5">
        <v>-17112.52</v>
      </c>
      <c r="F213" s="2" t="s">
        <v>407</v>
      </c>
      <c r="G213" s="6" t="s">
        <v>408</v>
      </c>
      <c r="H213" s="7" t="str">
        <f t="shared" si="1"/>
        <v>Skyline Engineering|-17112.52</v>
      </c>
      <c r="I213" s="7">
        <f t="shared" si="2"/>
        <v>1</v>
      </c>
      <c r="J213" s="7" t="str">
        <f t="shared" si="3"/>
        <v>OK</v>
      </c>
    </row>
    <row r="214">
      <c r="A214" s="2" t="s">
        <v>992</v>
      </c>
      <c r="B214" s="6" t="s">
        <v>993</v>
      </c>
      <c r="C214" s="2" t="s">
        <v>90</v>
      </c>
      <c r="D214" s="2" t="s">
        <v>994</v>
      </c>
      <c r="E214" s="5">
        <v>-19525.75</v>
      </c>
      <c r="F214" s="2" t="s">
        <v>407</v>
      </c>
      <c r="G214" s="6" t="s">
        <v>408</v>
      </c>
      <c r="H214" s="7" t="str">
        <f t="shared" si="1"/>
        <v>Peak Materials Supply|-19525.75</v>
      </c>
      <c r="I214" s="7">
        <f t="shared" si="2"/>
        <v>1</v>
      </c>
      <c r="J214" s="7" t="str">
        <f t="shared" si="3"/>
        <v>OK</v>
      </c>
    </row>
    <row r="215">
      <c r="A215" s="2" t="s">
        <v>995</v>
      </c>
      <c r="B215" s="6" t="s">
        <v>502</v>
      </c>
      <c r="C215" s="2" t="s">
        <v>40</v>
      </c>
      <c r="D215" s="2" t="s">
        <v>996</v>
      </c>
      <c r="E215" s="5">
        <v>-19186.66</v>
      </c>
      <c r="F215" s="2" t="s">
        <v>415</v>
      </c>
      <c r="G215" s="6" t="s">
        <v>408</v>
      </c>
      <c r="H215" s="7" t="str">
        <f t="shared" si="1"/>
        <v>Gulf Coast Telecom|-19186.66</v>
      </c>
      <c r="I215" s="7">
        <f t="shared" si="2"/>
        <v>1</v>
      </c>
      <c r="J215" s="7" t="str">
        <f t="shared" si="3"/>
        <v>OK</v>
      </c>
    </row>
    <row r="216">
      <c r="A216" s="2" t="s">
        <v>997</v>
      </c>
      <c r="B216" s="6" t="s">
        <v>972</v>
      </c>
      <c r="C216" s="2" t="s">
        <v>57</v>
      </c>
      <c r="D216" s="2" t="s">
        <v>998</v>
      </c>
      <c r="E216" s="5">
        <v>-5875.03</v>
      </c>
      <c r="F216" s="2" t="s">
        <v>407</v>
      </c>
      <c r="G216" s="6" t="s">
        <v>408</v>
      </c>
      <c r="H216" s="7" t="str">
        <f t="shared" si="1"/>
        <v>Florida Line Crew LLC|-5875.03</v>
      </c>
      <c r="I216" s="7">
        <f t="shared" si="2"/>
        <v>1</v>
      </c>
      <c r="J216" s="7" t="str">
        <f t="shared" si="3"/>
        <v>OK</v>
      </c>
    </row>
    <row r="217">
      <c r="A217" s="2" t="s">
        <v>999</v>
      </c>
      <c r="B217" s="6" t="s">
        <v>1000</v>
      </c>
      <c r="C217" s="2" t="s">
        <v>90</v>
      </c>
      <c r="D217" s="2" t="s">
        <v>1001</v>
      </c>
      <c r="E217" s="5">
        <v>-14505.71</v>
      </c>
      <c r="F217" s="2" t="s">
        <v>407</v>
      </c>
      <c r="G217" s="6" t="s">
        <v>408</v>
      </c>
      <c r="H217" s="7" t="str">
        <f t="shared" si="1"/>
        <v>Peak Materials Supply|-14505.71</v>
      </c>
      <c r="I217" s="7">
        <f t="shared" si="2"/>
        <v>1</v>
      </c>
      <c r="J217" s="7" t="str">
        <f t="shared" si="3"/>
        <v>OK</v>
      </c>
    </row>
    <row r="218">
      <c r="A218" s="2" t="s">
        <v>1002</v>
      </c>
      <c r="B218" s="6" t="s">
        <v>650</v>
      </c>
      <c r="C218" s="2" t="s">
        <v>36</v>
      </c>
      <c r="D218" s="2" t="s">
        <v>1003</v>
      </c>
      <c r="E218" s="5">
        <v>-25777.29</v>
      </c>
      <c r="F218" s="2" t="s">
        <v>407</v>
      </c>
      <c r="G218" s="6" t="s">
        <v>408</v>
      </c>
      <c r="H218" s="7" t="str">
        <f t="shared" si="1"/>
        <v>Tampa Grid Services|-25777.29</v>
      </c>
      <c r="I218" s="7">
        <f t="shared" si="2"/>
        <v>1</v>
      </c>
      <c r="J218" s="7" t="str">
        <f t="shared" si="3"/>
        <v>OK</v>
      </c>
    </row>
    <row r="219">
      <c r="A219" s="2" t="s">
        <v>1004</v>
      </c>
      <c r="B219" s="6" t="s">
        <v>964</v>
      </c>
      <c r="C219" s="2" t="s">
        <v>18</v>
      </c>
      <c r="D219" s="2" t="s">
        <v>1005</v>
      </c>
      <c r="E219" s="5">
        <v>-16295.95</v>
      </c>
      <c r="F219" s="2" t="s">
        <v>415</v>
      </c>
      <c r="G219" s="6" t="s">
        <v>408</v>
      </c>
      <c r="H219" s="7" t="str">
        <f t="shared" si="1"/>
        <v>Tri-County Services|-16295.95</v>
      </c>
      <c r="I219" s="7">
        <f t="shared" si="2"/>
        <v>1</v>
      </c>
      <c r="J219" s="7" t="str">
        <f t="shared" si="3"/>
        <v>OK</v>
      </c>
    </row>
    <row r="220">
      <c r="A220" s="2" t="s">
        <v>1006</v>
      </c>
      <c r="B220" s="6" t="s">
        <v>920</v>
      </c>
      <c r="C220" s="2" t="s">
        <v>49</v>
      </c>
      <c r="D220" s="2" t="s">
        <v>1007</v>
      </c>
      <c r="E220" s="5">
        <v>-4773.24</v>
      </c>
      <c r="F220" s="2" t="s">
        <v>407</v>
      </c>
      <c r="G220" s="6" t="s">
        <v>408</v>
      </c>
      <c r="H220" s="7" t="str">
        <f t="shared" si="1"/>
        <v>Sunshine Equipment|-4773.24</v>
      </c>
      <c r="I220" s="7">
        <f t="shared" si="2"/>
        <v>1</v>
      </c>
      <c r="J220" s="7" t="str">
        <f t="shared" si="3"/>
        <v>OK</v>
      </c>
    </row>
    <row r="221">
      <c r="A221" s="2" t="s">
        <v>1008</v>
      </c>
      <c r="B221" s="6" t="s">
        <v>1000</v>
      </c>
      <c r="C221" s="2" t="s">
        <v>59</v>
      </c>
      <c r="D221" s="2" t="s">
        <v>1009</v>
      </c>
      <c r="E221" s="5">
        <v>-19430.91</v>
      </c>
      <c r="F221" s="2" t="s">
        <v>415</v>
      </c>
      <c r="G221" s="6" t="s">
        <v>408</v>
      </c>
      <c r="H221" s="7" t="str">
        <f t="shared" si="1"/>
        <v>Skyline Engineering|-19430.91</v>
      </c>
      <c r="I221" s="7">
        <f t="shared" si="2"/>
        <v>1</v>
      </c>
      <c r="J221" s="7" t="str">
        <f t="shared" si="3"/>
        <v>OK</v>
      </c>
    </row>
    <row r="222">
      <c r="A222" s="2" t="s">
        <v>1010</v>
      </c>
      <c r="B222" s="6" t="s">
        <v>444</v>
      </c>
      <c r="C222" s="2" t="s">
        <v>59</v>
      </c>
      <c r="D222" s="2" t="s">
        <v>1011</v>
      </c>
      <c r="E222" s="5">
        <v>-4290.48</v>
      </c>
      <c r="F222" s="2" t="s">
        <v>407</v>
      </c>
      <c r="G222" s="6" t="s">
        <v>408</v>
      </c>
      <c r="H222" s="7" t="str">
        <f t="shared" si="1"/>
        <v>Skyline Engineering|-4290.48</v>
      </c>
      <c r="I222" s="7">
        <f t="shared" si="2"/>
        <v>1</v>
      </c>
      <c r="J222" s="7" t="str">
        <f t="shared" si="3"/>
        <v>OK</v>
      </c>
    </row>
    <row r="223">
      <c r="A223" s="2" t="s">
        <v>1012</v>
      </c>
      <c r="B223" s="6" t="s">
        <v>901</v>
      </c>
      <c r="C223" s="2" t="s">
        <v>49</v>
      </c>
      <c r="D223" s="2" t="s">
        <v>1013</v>
      </c>
      <c r="E223" s="5">
        <v>-791.15</v>
      </c>
      <c r="F223" s="2" t="s">
        <v>415</v>
      </c>
      <c r="G223" s="6" t="s">
        <v>408</v>
      </c>
      <c r="H223" s="7" t="str">
        <f t="shared" si="1"/>
        <v>Sunshine Equipment|-791.15</v>
      </c>
      <c r="I223" s="7">
        <f t="shared" si="2"/>
        <v>1</v>
      </c>
      <c r="J223" s="7" t="str">
        <f t="shared" si="3"/>
        <v>OK</v>
      </c>
    </row>
    <row r="224">
      <c r="A224" s="2" t="s">
        <v>1014</v>
      </c>
      <c r="B224" s="6" t="s">
        <v>458</v>
      </c>
      <c r="C224" s="2" t="s">
        <v>27</v>
      </c>
      <c r="D224" s="2" t="s">
        <v>1015</v>
      </c>
      <c r="E224" s="5">
        <v>-9726.69</v>
      </c>
      <c r="F224" s="2" t="s">
        <v>407</v>
      </c>
      <c r="G224" s="6" t="s">
        <v>408</v>
      </c>
      <c r="H224" s="7" t="str">
        <f t="shared" si="1"/>
        <v>Sunline Electrical|-9726.69</v>
      </c>
      <c r="I224" s="7">
        <f t="shared" si="2"/>
        <v>1</v>
      </c>
      <c r="J224" s="7" t="str">
        <f t="shared" si="3"/>
        <v>OK</v>
      </c>
    </row>
    <row r="225">
      <c r="A225" s="2" t="s">
        <v>1016</v>
      </c>
      <c r="B225" s="6" t="s">
        <v>1017</v>
      </c>
      <c r="C225" s="2" t="s">
        <v>57</v>
      </c>
      <c r="D225" s="2" t="s">
        <v>1018</v>
      </c>
      <c r="E225" s="5">
        <v>-15269.03</v>
      </c>
      <c r="F225" s="2" t="s">
        <v>407</v>
      </c>
      <c r="G225" s="6" t="s">
        <v>408</v>
      </c>
      <c r="H225" s="7" t="str">
        <f t="shared" si="1"/>
        <v>Florida Line Crew LLC|-15269.03</v>
      </c>
      <c r="I225" s="7">
        <f t="shared" si="2"/>
        <v>1</v>
      </c>
      <c r="J225" s="7" t="str">
        <f t="shared" si="3"/>
        <v>OK</v>
      </c>
    </row>
    <row r="226">
      <c r="A226" s="2" t="s">
        <v>1019</v>
      </c>
      <c r="B226" s="6" t="s">
        <v>958</v>
      </c>
      <c r="C226" s="2" t="s">
        <v>57</v>
      </c>
      <c r="D226" s="2" t="s">
        <v>1020</v>
      </c>
      <c r="E226" s="5">
        <v>-3260.93</v>
      </c>
      <c r="F226" s="2" t="s">
        <v>407</v>
      </c>
      <c r="G226" s="6" t="s">
        <v>408</v>
      </c>
      <c r="H226" s="7" t="str">
        <f t="shared" si="1"/>
        <v>Florida Line Crew LLC|-3260.93</v>
      </c>
      <c r="I226" s="7">
        <f t="shared" si="2"/>
        <v>1</v>
      </c>
      <c r="J226" s="7" t="str">
        <f t="shared" si="3"/>
        <v>OK</v>
      </c>
    </row>
    <row r="227">
      <c r="A227" s="2" t="s">
        <v>1021</v>
      </c>
      <c r="B227" s="6" t="s">
        <v>656</v>
      </c>
      <c r="C227" s="2" t="s">
        <v>40</v>
      </c>
      <c r="D227" s="2" t="s">
        <v>1022</v>
      </c>
      <c r="E227" s="5">
        <v>-1897.43</v>
      </c>
      <c r="F227" s="2" t="s">
        <v>407</v>
      </c>
      <c r="G227" s="6" t="s">
        <v>408</v>
      </c>
      <c r="H227" s="7" t="str">
        <f t="shared" si="1"/>
        <v>Gulf Coast Telecom|-1897.43</v>
      </c>
      <c r="I227" s="7">
        <f t="shared" si="2"/>
        <v>1</v>
      </c>
      <c r="J227" s="7" t="str">
        <f t="shared" si="3"/>
        <v>OK</v>
      </c>
    </row>
    <row r="228">
      <c r="A228" s="2" t="s">
        <v>1023</v>
      </c>
      <c r="B228" s="6" t="s">
        <v>1024</v>
      </c>
      <c r="C228" s="2" t="s">
        <v>57</v>
      </c>
      <c r="D228" s="2" t="s">
        <v>1025</v>
      </c>
      <c r="E228" s="5">
        <v>-21451.59</v>
      </c>
      <c r="F228" s="2" t="s">
        <v>415</v>
      </c>
      <c r="G228" s="6" t="s">
        <v>408</v>
      </c>
      <c r="H228" s="7" t="str">
        <f t="shared" si="1"/>
        <v>Florida Line Crew LLC|-21451.59</v>
      </c>
      <c r="I228" s="7">
        <f t="shared" si="2"/>
        <v>1</v>
      </c>
      <c r="J228" s="7" t="str">
        <f t="shared" si="3"/>
        <v>OK</v>
      </c>
    </row>
    <row r="229">
      <c r="A229" s="2" t="s">
        <v>1026</v>
      </c>
      <c r="B229" s="6" t="s">
        <v>1027</v>
      </c>
      <c r="C229" s="2" t="s">
        <v>90</v>
      </c>
      <c r="D229" s="2" t="s">
        <v>1028</v>
      </c>
      <c r="E229" s="5">
        <v>-16122.14</v>
      </c>
      <c r="F229" s="2" t="s">
        <v>415</v>
      </c>
      <c r="G229" s="6" t="s">
        <v>408</v>
      </c>
      <c r="H229" s="7" t="str">
        <f t="shared" si="1"/>
        <v>Peak Materials Supply|-16122.14</v>
      </c>
      <c r="I229" s="7">
        <f t="shared" si="2"/>
        <v>1</v>
      </c>
      <c r="J229" s="7" t="str">
        <f t="shared" si="3"/>
        <v>OK</v>
      </c>
    </row>
    <row r="230">
      <c r="A230" s="2" t="s">
        <v>1029</v>
      </c>
      <c r="B230" s="6" t="s">
        <v>1030</v>
      </c>
      <c r="C230" s="2" t="s">
        <v>30</v>
      </c>
      <c r="D230" s="2" t="s">
        <v>1031</v>
      </c>
      <c r="E230" s="5">
        <v>-19805.74</v>
      </c>
      <c r="F230" s="2" t="s">
        <v>407</v>
      </c>
      <c r="G230" s="6" t="s">
        <v>408</v>
      </c>
      <c r="H230" s="7" t="str">
        <f t="shared" si="1"/>
        <v>Tidal Contractors|-19805.74</v>
      </c>
      <c r="I230" s="7">
        <f t="shared" si="2"/>
        <v>1</v>
      </c>
      <c r="J230" s="7" t="str">
        <f t="shared" si="3"/>
        <v>OK</v>
      </c>
    </row>
    <row r="231">
      <c r="A231" s="2" t="s">
        <v>1032</v>
      </c>
      <c r="B231" s="6" t="s">
        <v>969</v>
      </c>
      <c r="C231" s="2" t="s">
        <v>18</v>
      </c>
      <c r="D231" s="2" t="s">
        <v>1033</v>
      </c>
      <c r="E231" s="5">
        <v>-13160.5</v>
      </c>
      <c r="F231" s="2" t="s">
        <v>407</v>
      </c>
      <c r="G231" s="6" t="s">
        <v>408</v>
      </c>
      <c r="H231" s="7" t="str">
        <f t="shared" si="1"/>
        <v>Tri-County Services|-13160.5</v>
      </c>
      <c r="I231" s="7">
        <f t="shared" si="2"/>
        <v>1</v>
      </c>
      <c r="J231" s="7" t="str">
        <f t="shared" si="3"/>
        <v>OK</v>
      </c>
    </row>
    <row r="232">
      <c r="A232" s="2" t="s">
        <v>1034</v>
      </c>
      <c r="B232" s="6" t="s">
        <v>568</v>
      </c>
      <c r="C232" s="2" t="s">
        <v>49</v>
      </c>
      <c r="D232" s="2" t="s">
        <v>1035</v>
      </c>
      <c r="E232" s="5">
        <v>-13595.21</v>
      </c>
      <c r="F232" s="2" t="s">
        <v>415</v>
      </c>
      <c r="G232" s="6" t="s">
        <v>408</v>
      </c>
      <c r="H232" s="7" t="str">
        <f t="shared" si="1"/>
        <v>Sunshine Equipment|-13595.21</v>
      </c>
      <c r="I232" s="7">
        <f t="shared" si="2"/>
        <v>1</v>
      </c>
      <c r="J232" s="7" t="str">
        <f t="shared" si="3"/>
        <v>OK</v>
      </c>
    </row>
    <row r="233">
      <c r="A233" s="2" t="s">
        <v>1036</v>
      </c>
      <c r="B233" s="6" t="s">
        <v>1037</v>
      </c>
      <c r="C233" s="2" t="s">
        <v>59</v>
      </c>
      <c r="D233" s="2" t="s">
        <v>1038</v>
      </c>
      <c r="E233" s="5">
        <v>-10012.87</v>
      </c>
      <c r="F233" s="2" t="s">
        <v>415</v>
      </c>
      <c r="G233" s="6" t="s">
        <v>408</v>
      </c>
      <c r="H233" s="7" t="str">
        <f t="shared" si="1"/>
        <v>Skyline Engineering|-10012.87</v>
      </c>
      <c r="I233" s="7">
        <f t="shared" si="2"/>
        <v>1</v>
      </c>
      <c r="J233" s="7" t="str">
        <f t="shared" si="3"/>
        <v>OK</v>
      </c>
    </row>
    <row r="234">
      <c r="A234" s="2" t="s">
        <v>1039</v>
      </c>
      <c r="B234" s="6" t="s">
        <v>634</v>
      </c>
      <c r="C234" s="2" t="s">
        <v>27</v>
      </c>
      <c r="D234" s="2" t="s">
        <v>1040</v>
      </c>
      <c r="E234" s="5">
        <v>-20742.56</v>
      </c>
      <c r="F234" s="2" t="s">
        <v>415</v>
      </c>
      <c r="G234" s="6" t="s">
        <v>408</v>
      </c>
      <c r="H234" s="7" t="str">
        <f t="shared" si="1"/>
        <v>Sunline Electrical|-20742.56</v>
      </c>
      <c r="I234" s="7">
        <f t="shared" si="2"/>
        <v>1</v>
      </c>
      <c r="J234" s="7" t="str">
        <f t="shared" si="3"/>
        <v>OK</v>
      </c>
    </row>
    <row r="235">
      <c r="A235" s="2" t="s">
        <v>1041</v>
      </c>
      <c r="B235" s="6" t="s">
        <v>620</v>
      </c>
      <c r="C235" s="2" t="s">
        <v>59</v>
      </c>
      <c r="D235" s="2" t="s">
        <v>1042</v>
      </c>
      <c r="E235" s="5">
        <v>-14009.4</v>
      </c>
      <c r="F235" s="2" t="s">
        <v>415</v>
      </c>
      <c r="G235" s="6" t="s">
        <v>408</v>
      </c>
      <c r="H235" s="7" t="str">
        <f t="shared" si="1"/>
        <v>Skyline Engineering|-14009.4</v>
      </c>
      <c r="I235" s="7">
        <f t="shared" si="2"/>
        <v>1</v>
      </c>
      <c r="J235" s="7" t="str">
        <f t="shared" si="3"/>
        <v>OK</v>
      </c>
    </row>
    <row r="236">
      <c r="A236" s="2" t="s">
        <v>1043</v>
      </c>
      <c r="B236" s="6" t="s">
        <v>1044</v>
      </c>
      <c r="C236" s="2" t="s">
        <v>90</v>
      </c>
      <c r="D236" s="2" t="s">
        <v>1045</v>
      </c>
      <c r="E236" s="5">
        <v>-26295.71</v>
      </c>
      <c r="F236" s="2" t="s">
        <v>415</v>
      </c>
      <c r="G236" s="6" t="s">
        <v>408</v>
      </c>
      <c r="H236" s="7" t="str">
        <f t="shared" si="1"/>
        <v>Peak Materials Supply|-26295.71</v>
      </c>
      <c r="I236" s="7">
        <f t="shared" si="2"/>
        <v>1</v>
      </c>
      <c r="J236" s="7" t="str">
        <f t="shared" si="3"/>
        <v>OK</v>
      </c>
    </row>
    <row r="237">
      <c r="A237" s="2" t="s">
        <v>1046</v>
      </c>
      <c r="B237" s="6" t="s">
        <v>1047</v>
      </c>
      <c r="C237" s="2" t="s">
        <v>49</v>
      </c>
      <c r="D237" s="2" t="s">
        <v>1048</v>
      </c>
      <c r="E237" s="5">
        <v>-17091.36</v>
      </c>
      <c r="F237" s="2" t="s">
        <v>415</v>
      </c>
      <c r="G237" s="6" t="s">
        <v>408</v>
      </c>
      <c r="H237" s="7" t="str">
        <f t="shared" si="1"/>
        <v>Sunshine Equipment|-17091.36</v>
      </c>
      <c r="I237" s="7">
        <f t="shared" si="2"/>
        <v>1</v>
      </c>
      <c r="J237" s="7" t="str">
        <f t="shared" si="3"/>
        <v>OK</v>
      </c>
    </row>
    <row r="238">
      <c r="A238" s="2" t="s">
        <v>1049</v>
      </c>
      <c r="B238" s="6" t="s">
        <v>1050</v>
      </c>
      <c r="C238" s="2" t="s">
        <v>23</v>
      </c>
      <c r="D238" s="2" t="s">
        <v>1051</v>
      </c>
      <c r="E238" s="5">
        <v>-16160.19</v>
      </c>
      <c r="F238" s="2" t="s">
        <v>415</v>
      </c>
      <c r="G238" s="6" t="s">
        <v>408</v>
      </c>
      <c r="H238" s="7" t="str">
        <f t="shared" si="1"/>
        <v>Atlantic Fiber Co|-16160.19</v>
      </c>
      <c r="I238" s="7">
        <f t="shared" si="2"/>
        <v>1</v>
      </c>
      <c r="J238" s="7" t="str">
        <f t="shared" si="3"/>
        <v>OK</v>
      </c>
    </row>
    <row r="239">
      <c r="A239" s="2" t="s">
        <v>1052</v>
      </c>
      <c r="B239" s="6" t="s">
        <v>435</v>
      </c>
      <c r="C239" s="2" t="s">
        <v>40</v>
      </c>
      <c r="D239" s="2" t="s">
        <v>1053</v>
      </c>
      <c r="E239" s="5">
        <v>-11152.62</v>
      </c>
      <c r="F239" s="2" t="s">
        <v>415</v>
      </c>
      <c r="G239" s="6" t="s">
        <v>408</v>
      </c>
      <c r="H239" s="7" t="str">
        <f t="shared" si="1"/>
        <v>Gulf Coast Telecom|-11152.62</v>
      </c>
      <c r="I239" s="7">
        <f t="shared" si="2"/>
        <v>1</v>
      </c>
      <c r="J239" s="7" t="str">
        <f t="shared" si="3"/>
        <v>OK</v>
      </c>
    </row>
    <row r="240">
      <c r="A240" s="2" t="s">
        <v>1054</v>
      </c>
      <c r="B240" s="6" t="s">
        <v>626</v>
      </c>
      <c r="C240" s="2" t="s">
        <v>27</v>
      </c>
      <c r="D240" s="2" t="s">
        <v>1055</v>
      </c>
      <c r="E240" s="5">
        <v>-768.12</v>
      </c>
      <c r="F240" s="2" t="s">
        <v>415</v>
      </c>
      <c r="G240" s="6" t="s">
        <v>408</v>
      </c>
      <c r="H240" s="7" t="str">
        <f t="shared" si="1"/>
        <v>Sunline Electrical|-768.12</v>
      </c>
      <c r="I240" s="7">
        <f t="shared" si="2"/>
        <v>1</v>
      </c>
      <c r="J240" s="7" t="str">
        <f t="shared" si="3"/>
        <v>OK</v>
      </c>
    </row>
    <row r="241">
      <c r="A241" s="2" t="s">
        <v>1056</v>
      </c>
      <c r="B241" s="6" t="s">
        <v>716</v>
      </c>
      <c r="C241" s="2" t="s">
        <v>23</v>
      </c>
      <c r="D241" s="2" t="s">
        <v>1057</v>
      </c>
      <c r="E241" s="5">
        <v>-12431.09</v>
      </c>
      <c r="F241" s="2" t="s">
        <v>407</v>
      </c>
      <c r="G241" s="6" t="s">
        <v>408</v>
      </c>
      <c r="H241" s="7" t="str">
        <f t="shared" si="1"/>
        <v>Atlantic Fiber Co|-12431.09</v>
      </c>
      <c r="I241" s="7">
        <f t="shared" si="2"/>
        <v>1</v>
      </c>
      <c r="J241" s="7" t="str">
        <f t="shared" si="3"/>
        <v>OK</v>
      </c>
    </row>
    <row r="242">
      <c r="A242" s="2" t="s">
        <v>1058</v>
      </c>
      <c r="B242" s="6" t="s">
        <v>617</v>
      </c>
      <c r="C242" s="2" t="s">
        <v>27</v>
      </c>
      <c r="D242" s="2" t="s">
        <v>1059</v>
      </c>
      <c r="E242" s="5">
        <v>-9369.54</v>
      </c>
      <c r="F242" s="2" t="s">
        <v>407</v>
      </c>
      <c r="G242" s="6" t="s">
        <v>408</v>
      </c>
      <c r="H242" s="7" t="str">
        <f t="shared" si="1"/>
        <v>Sunline Electrical|-9369.54</v>
      </c>
      <c r="I242" s="7">
        <f t="shared" si="2"/>
        <v>1</v>
      </c>
      <c r="J242" s="7" t="str">
        <f t="shared" si="3"/>
        <v>OK</v>
      </c>
    </row>
    <row r="243">
      <c r="A243" s="2" t="s">
        <v>1060</v>
      </c>
      <c r="B243" s="6" t="s">
        <v>1061</v>
      </c>
      <c r="C243" s="2" t="s">
        <v>36</v>
      </c>
      <c r="D243" s="2" t="s">
        <v>1062</v>
      </c>
      <c r="E243" s="5">
        <v>-16713.45</v>
      </c>
      <c r="F243" s="2" t="s">
        <v>407</v>
      </c>
      <c r="G243" s="6" t="s">
        <v>408</v>
      </c>
      <c r="H243" s="7" t="str">
        <f t="shared" si="1"/>
        <v>Tampa Grid Services|-16713.45</v>
      </c>
      <c r="I243" s="7">
        <f t="shared" si="2"/>
        <v>1</v>
      </c>
      <c r="J243" s="7" t="str">
        <f t="shared" si="3"/>
        <v>OK</v>
      </c>
    </row>
    <row r="244">
      <c r="A244" s="2" t="s">
        <v>1063</v>
      </c>
      <c r="B244" s="6" t="s">
        <v>955</v>
      </c>
      <c r="C244" s="2" t="s">
        <v>42</v>
      </c>
      <c r="D244" s="2" t="s">
        <v>1064</v>
      </c>
      <c r="E244" s="5">
        <v>-19932.49</v>
      </c>
      <c r="F244" s="2" t="s">
        <v>415</v>
      </c>
      <c r="G244" s="6" t="s">
        <v>408</v>
      </c>
      <c r="H244" s="7" t="str">
        <f t="shared" si="1"/>
        <v>BrightPower Partners|-19932.49</v>
      </c>
      <c r="I244" s="7">
        <f t="shared" si="2"/>
        <v>1</v>
      </c>
      <c r="J244" s="7" t="str">
        <f t="shared" si="3"/>
        <v>OK</v>
      </c>
    </row>
    <row r="245">
      <c r="A245" s="2" t="s">
        <v>1065</v>
      </c>
      <c r="B245" s="6" t="s">
        <v>806</v>
      </c>
      <c r="C245" s="2" t="s">
        <v>27</v>
      </c>
      <c r="D245" s="2" t="s">
        <v>1066</v>
      </c>
      <c r="E245" s="5">
        <v>-21453.26</v>
      </c>
      <c r="F245" s="2" t="s">
        <v>415</v>
      </c>
      <c r="G245" s="6" t="s">
        <v>408</v>
      </c>
      <c r="H245" s="7" t="str">
        <f t="shared" si="1"/>
        <v>Sunline Electrical|-21453.26</v>
      </c>
      <c r="I245" s="7">
        <f t="shared" si="2"/>
        <v>1</v>
      </c>
      <c r="J245" s="7" t="str">
        <f t="shared" si="3"/>
        <v>OK</v>
      </c>
    </row>
    <row r="246">
      <c r="A246" s="2" t="s">
        <v>1067</v>
      </c>
      <c r="B246" s="6" t="s">
        <v>1068</v>
      </c>
      <c r="C246" s="2" t="s">
        <v>27</v>
      </c>
      <c r="D246" s="2" t="s">
        <v>1069</v>
      </c>
      <c r="E246" s="5">
        <v>-1551.76</v>
      </c>
      <c r="F246" s="2" t="s">
        <v>415</v>
      </c>
      <c r="G246" s="6" t="s">
        <v>408</v>
      </c>
      <c r="H246" s="7" t="str">
        <f t="shared" si="1"/>
        <v>Sunline Electrical|-1551.76</v>
      </c>
      <c r="I246" s="7">
        <f t="shared" si="2"/>
        <v>1</v>
      </c>
      <c r="J246" s="7" t="str">
        <f t="shared" si="3"/>
        <v>OK</v>
      </c>
    </row>
    <row r="247">
      <c r="A247" s="2" t="s">
        <v>1070</v>
      </c>
      <c r="B247" s="6" t="s">
        <v>1071</v>
      </c>
      <c r="C247" s="2" t="s">
        <v>40</v>
      </c>
      <c r="D247" s="2" t="s">
        <v>1072</v>
      </c>
      <c r="E247" s="5">
        <v>-15862.14</v>
      </c>
      <c r="F247" s="2" t="s">
        <v>415</v>
      </c>
      <c r="G247" s="6" t="s">
        <v>408</v>
      </c>
      <c r="H247" s="7" t="str">
        <f t="shared" si="1"/>
        <v>Gulf Coast Telecom|-15862.14</v>
      </c>
      <c r="I247" s="7">
        <f t="shared" si="2"/>
        <v>1</v>
      </c>
      <c r="J247" s="7" t="str">
        <f t="shared" si="3"/>
        <v>OK</v>
      </c>
    </row>
    <row r="248">
      <c r="A248" s="2" t="s">
        <v>1073</v>
      </c>
      <c r="B248" s="6" t="s">
        <v>1074</v>
      </c>
      <c r="C248" s="2" t="s">
        <v>42</v>
      </c>
      <c r="D248" s="2" t="s">
        <v>1075</v>
      </c>
      <c r="E248" s="5">
        <v>-18604.18</v>
      </c>
      <c r="F248" s="2" t="s">
        <v>407</v>
      </c>
      <c r="G248" s="6" t="s">
        <v>408</v>
      </c>
      <c r="H248" s="7" t="str">
        <f t="shared" si="1"/>
        <v>BrightPower Partners|-18604.18</v>
      </c>
      <c r="I248" s="7">
        <f t="shared" si="2"/>
        <v>2</v>
      </c>
      <c r="J248" s="7" t="str">
        <f t="shared" si="3"/>
        <v>Duplicate Payment</v>
      </c>
    </row>
    <row r="249">
      <c r="A249" s="2" t="s">
        <v>1076</v>
      </c>
      <c r="B249" s="6" t="s">
        <v>438</v>
      </c>
      <c r="C249" s="2" t="s">
        <v>42</v>
      </c>
      <c r="D249" s="2" t="s">
        <v>1077</v>
      </c>
      <c r="E249" s="5">
        <v>-18604.18</v>
      </c>
      <c r="F249" s="2" t="s">
        <v>407</v>
      </c>
      <c r="G249" s="6" t="s">
        <v>408</v>
      </c>
      <c r="H249" s="7" t="str">
        <f t="shared" si="1"/>
        <v>BrightPower Partners|-18604.18</v>
      </c>
      <c r="I249" s="7">
        <f t="shared" si="2"/>
        <v>2</v>
      </c>
      <c r="J249" s="7" t="str">
        <f t="shared" si="3"/>
        <v>Duplicate Payment</v>
      </c>
    </row>
    <row r="250">
      <c r="A250" s="2" t="s">
        <v>1078</v>
      </c>
      <c r="B250" s="6" t="s">
        <v>1024</v>
      </c>
      <c r="C250" s="2" t="s">
        <v>59</v>
      </c>
      <c r="D250" s="2" t="s">
        <v>1079</v>
      </c>
      <c r="E250" s="5">
        <v>-12456.01</v>
      </c>
      <c r="F250" s="2" t="s">
        <v>407</v>
      </c>
      <c r="G250" s="6" t="s">
        <v>408</v>
      </c>
      <c r="H250" s="7" t="str">
        <f t="shared" si="1"/>
        <v>Skyline Engineering|-12456.01</v>
      </c>
      <c r="I250" s="7">
        <f t="shared" si="2"/>
        <v>1</v>
      </c>
      <c r="J250" s="7" t="str">
        <f t="shared" si="3"/>
        <v>OK</v>
      </c>
    </row>
    <row r="251">
      <c r="A251" s="2" t="s">
        <v>1080</v>
      </c>
      <c r="B251" s="6" t="s">
        <v>926</v>
      </c>
      <c r="C251" s="2" t="s">
        <v>18</v>
      </c>
      <c r="D251" s="2" t="s">
        <v>1081</v>
      </c>
      <c r="E251" s="5">
        <v>-1326.93</v>
      </c>
      <c r="F251" s="2" t="s">
        <v>415</v>
      </c>
      <c r="G251" s="6" t="s">
        <v>408</v>
      </c>
      <c r="H251" s="7" t="str">
        <f t="shared" si="1"/>
        <v>Tri-County Services|-1326.93</v>
      </c>
      <c r="I251" s="7">
        <f t="shared" si="2"/>
        <v>1</v>
      </c>
      <c r="J251" s="7" t="str">
        <f t="shared" si="3"/>
        <v>OK</v>
      </c>
    </row>
    <row r="252">
      <c r="A252" s="2" t="s">
        <v>1082</v>
      </c>
      <c r="B252" s="6" t="s">
        <v>1083</v>
      </c>
      <c r="C252" s="2" t="s">
        <v>30</v>
      </c>
      <c r="D252" s="2" t="s">
        <v>1084</v>
      </c>
      <c r="E252" s="5">
        <v>-4814.24</v>
      </c>
      <c r="F252" s="2" t="s">
        <v>407</v>
      </c>
      <c r="G252" s="6" t="s">
        <v>408</v>
      </c>
      <c r="H252" s="7" t="str">
        <f t="shared" si="1"/>
        <v>Tidal Contractors|-4814.24</v>
      </c>
      <c r="I252" s="7">
        <f t="shared" si="2"/>
        <v>1</v>
      </c>
      <c r="J252" s="7" t="str">
        <f t="shared" si="3"/>
        <v>OK</v>
      </c>
    </row>
    <row r="253">
      <c r="A253" s="2" t="s">
        <v>1085</v>
      </c>
      <c r="B253" s="6" t="s">
        <v>583</v>
      </c>
      <c r="C253" s="2" t="s">
        <v>18</v>
      </c>
      <c r="D253" s="2" t="s">
        <v>1086</v>
      </c>
      <c r="E253" s="5">
        <v>-23402.2</v>
      </c>
      <c r="F253" s="2" t="s">
        <v>407</v>
      </c>
      <c r="G253" s="6" t="s">
        <v>408</v>
      </c>
      <c r="H253" s="7" t="str">
        <f t="shared" si="1"/>
        <v>Tri-County Services|-23402.2</v>
      </c>
      <c r="I253" s="7">
        <f t="shared" si="2"/>
        <v>1</v>
      </c>
      <c r="J253" s="7" t="str">
        <f t="shared" si="3"/>
        <v>OK</v>
      </c>
    </row>
    <row r="254">
      <c r="A254" s="2" t="s">
        <v>1087</v>
      </c>
      <c r="B254" s="6" t="s">
        <v>1088</v>
      </c>
      <c r="C254" s="2" t="s">
        <v>57</v>
      </c>
      <c r="D254" s="2" t="s">
        <v>1089</v>
      </c>
      <c r="E254" s="5">
        <v>-25416.28</v>
      </c>
      <c r="F254" s="2" t="s">
        <v>407</v>
      </c>
      <c r="G254" s="6" t="s">
        <v>408</v>
      </c>
      <c r="H254" s="7" t="str">
        <f t="shared" si="1"/>
        <v>Florida Line Crew LLC|-25416.28</v>
      </c>
      <c r="I254" s="7">
        <f t="shared" si="2"/>
        <v>1</v>
      </c>
      <c r="J254" s="7" t="str">
        <f t="shared" si="3"/>
        <v>OK</v>
      </c>
    </row>
    <row r="255">
      <c r="A255" s="2" t="s">
        <v>1090</v>
      </c>
      <c r="B255" s="6" t="s">
        <v>1091</v>
      </c>
      <c r="C255" s="2" t="s">
        <v>59</v>
      </c>
      <c r="D255" s="2" t="s">
        <v>1092</v>
      </c>
      <c r="E255" s="5">
        <v>-15421.14</v>
      </c>
      <c r="F255" s="2" t="s">
        <v>415</v>
      </c>
      <c r="G255" s="6" t="s">
        <v>408</v>
      </c>
      <c r="H255" s="7" t="str">
        <f t="shared" si="1"/>
        <v>Skyline Engineering|-15421.14</v>
      </c>
      <c r="I255" s="7">
        <f t="shared" si="2"/>
        <v>1</v>
      </c>
      <c r="J255" s="7" t="str">
        <f t="shared" si="3"/>
        <v>OK</v>
      </c>
    </row>
    <row r="256">
      <c r="A256" s="2" t="s">
        <v>1093</v>
      </c>
      <c r="B256" s="6" t="s">
        <v>803</v>
      </c>
      <c r="C256" s="2" t="s">
        <v>30</v>
      </c>
      <c r="D256" s="2" t="s">
        <v>1094</v>
      </c>
      <c r="E256" s="5">
        <v>-24964.54</v>
      </c>
      <c r="F256" s="2" t="s">
        <v>415</v>
      </c>
      <c r="G256" s="6" t="s">
        <v>408</v>
      </c>
      <c r="H256" s="7" t="str">
        <f t="shared" si="1"/>
        <v>Tidal Contractors|-24964.54</v>
      </c>
      <c r="I256" s="7">
        <f t="shared" si="2"/>
        <v>1</v>
      </c>
      <c r="J256" s="7" t="str">
        <f t="shared" si="3"/>
        <v>OK</v>
      </c>
    </row>
    <row r="257">
      <c r="A257" s="2" t="s">
        <v>1095</v>
      </c>
      <c r="B257" s="6" t="s">
        <v>1096</v>
      </c>
      <c r="C257" s="2" t="s">
        <v>18</v>
      </c>
      <c r="D257" s="2" t="s">
        <v>1097</v>
      </c>
      <c r="E257" s="5">
        <v>-9582.45</v>
      </c>
      <c r="F257" s="2" t="s">
        <v>415</v>
      </c>
      <c r="G257" s="6" t="s">
        <v>408</v>
      </c>
      <c r="H257" s="7" t="str">
        <f t="shared" si="1"/>
        <v>Tri-County Services|-9582.45</v>
      </c>
      <c r="I257" s="7">
        <f t="shared" si="2"/>
        <v>1</v>
      </c>
      <c r="J257" s="7" t="str">
        <f t="shared" si="3"/>
        <v>OK</v>
      </c>
    </row>
    <row r="258">
      <c r="A258" s="2" t="s">
        <v>1098</v>
      </c>
      <c r="B258" s="6" t="s">
        <v>1099</v>
      </c>
      <c r="C258" s="2" t="s">
        <v>27</v>
      </c>
      <c r="D258" s="2" t="s">
        <v>1100</v>
      </c>
      <c r="E258" s="5">
        <v>-8027.17</v>
      </c>
      <c r="F258" s="2" t="s">
        <v>415</v>
      </c>
      <c r="G258" s="6" t="s">
        <v>408</v>
      </c>
      <c r="H258" s="7" t="str">
        <f t="shared" si="1"/>
        <v>Sunline Electrical|-8027.17</v>
      </c>
      <c r="I258" s="7">
        <f t="shared" si="2"/>
        <v>1</v>
      </c>
      <c r="J258" s="7" t="str">
        <f t="shared" si="3"/>
        <v>OK</v>
      </c>
    </row>
    <row r="259">
      <c r="A259" s="2" t="s">
        <v>1101</v>
      </c>
      <c r="B259" s="6" t="s">
        <v>1102</v>
      </c>
      <c r="C259" s="2" t="s">
        <v>27</v>
      </c>
      <c r="D259" s="2" t="s">
        <v>1103</v>
      </c>
      <c r="E259" s="5">
        <v>-21871.84</v>
      </c>
      <c r="F259" s="2" t="s">
        <v>415</v>
      </c>
      <c r="G259" s="6" t="s">
        <v>408</v>
      </c>
      <c r="H259" s="7" t="str">
        <f t="shared" si="1"/>
        <v>Sunline Electrical|-21871.84</v>
      </c>
      <c r="I259" s="7">
        <f t="shared" si="2"/>
        <v>1</v>
      </c>
      <c r="J259" s="7" t="str">
        <f t="shared" si="3"/>
        <v>OK</v>
      </c>
    </row>
    <row r="260">
      <c r="A260" s="2" t="s">
        <v>1104</v>
      </c>
      <c r="B260" s="6" t="s">
        <v>1105</v>
      </c>
      <c r="C260" s="2" t="s">
        <v>62</v>
      </c>
      <c r="D260" s="2" t="s">
        <v>1106</v>
      </c>
      <c r="E260" s="5">
        <v>-16976.22</v>
      </c>
      <c r="F260" s="2" t="s">
        <v>407</v>
      </c>
      <c r="G260" s="6" t="s">
        <v>408</v>
      </c>
      <c r="H260" s="7" t="str">
        <f t="shared" si="1"/>
        <v>Bay Area Rentals|-16976.22</v>
      </c>
      <c r="I260" s="7">
        <f t="shared" si="2"/>
        <v>2</v>
      </c>
      <c r="J260" s="7" t="str">
        <f t="shared" si="3"/>
        <v>Duplicate Payment</v>
      </c>
    </row>
    <row r="261">
      <c r="A261" s="2" t="s">
        <v>1107</v>
      </c>
      <c r="B261" s="6" t="s">
        <v>540</v>
      </c>
      <c r="C261" s="2" t="s">
        <v>62</v>
      </c>
      <c r="D261" s="2" t="s">
        <v>1108</v>
      </c>
      <c r="E261" s="5">
        <v>-16976.22</v>
      </c>
      <c r="F261" s="2" t="s">
        <v>415</v>
      </c>
      <c r="G261" s="6" t="s">
        <v>408</v>
      </c>
      <c r="H261" s="7" t="str">
        <f t="shared" si="1"/>
        <v>Bay Area Rentals|-16976.22</v>
      </c>
      <c r="I261" s="7">
        <f t="shared" si="2"/>
        <v>2</v>
      </c>
      <c r="J261" s="7" t="str">
        <f t="shared" si="3"/>
        <v>Duplicate Payment</v>
      </c>
    </row>
    <row r="262">
      <c r="A262" s="2" t="s">
        <v>1109</v>
      </c>
      <c r="B262" s="6" t="s">
        <v>1110</v>
      </c>
      <c r="C262" s="2" t="s">
        <v>36</v>
      </c>
      <c r="D262" s="2" t="s">
        <v>1111</v>
      </c>
      <c r="E262" s="5">
        <v>-16096.29</v>
      </c>
      <c r="F262" s="2" t="s">
        <v>415</v>
      </c>
      <c r="G262" s="6" t="s">
        <v>408</v>
      </c>
      <c r="H262" s="7" t="str">
        <f t="shared" si="1"/>
        <v>Tampa Grid Services|-16096.29</v>
      </c>
      <c r="I262" s="7">
        <f t="shared" si="2"/>
        <v>1</v>
      </c>
      <c r="J262" s="7" t="str">
        <f t="shared" si="3"/>
        <v>OK</v>
      </c>
    </row>
    <row r="263">
      <c r="A263" s="2" t="s">
        <v>1112</v>
      </c>
      <c r="B263" s="6" t="s">
        <v>1113</v>
      </c>
      <c r="C263" s="2" t="s">
        <v>40</v>
      </c>
      <c r="D263" s="2" t="s">
        <v>1114</v>
      </c>
      <c r="E263" s="5">
        <v>-16354.4</v>
      </c>
      <c r="F263" s="2" t="s">
        <v>407</v>
      </c>
      <c r="G263" s="6" t="s">
        <v>408</v>
      </c>
      <c r="H263" s="7" t="str">
        <f t="shared" si="1"/>
        <v>Gulf Coast Telecom|-16354.4</v>
      </c>
      <c r="I263" s="7">
        <f t="shared" si="2"/>
        <v>1</v>
      </c>
      <c r="J263" s="7" t="str">
        <f t="shared" si="3"/>
        <v>OK</v>
      </c>
    </row>
    <row r="264">
      <c r="A264" s="2" t="s">
        <v>1115</v>
      </c>
      <c r="B264" s="6" t="s">
        <v>1116</v>
      </c>
      <c r="C264" s="2" t="s">
        <v>30</v>
      </c>
      <c r="D264" s="2" t="s">
        <v>1117</v>
      </c>
      <c r="E264" s="5">
        <v>-23275.55</v>
      </c>
      <c r="F264" s="2" t="s">
        <v>407</v>
      </c>
      <c r="G264" s="6" t="s">
        <v>408</v>
      </c>
      <c r="H264" s="7" t="str">
        <f t="shared" si="1"/>
        <v>Tidal Contractors|-23275.55</v>
      </c>
      <c r="I264" s="7">
        <f t="shared" si="2"/>
        <v>1</v>
      </c>
      <c r="J264" s="7" t="str">
        <f t="shared" si="3"/>
        <v>OK</v>
      </c>
    </row>
    <row r="265">
      <c r="A265" s="2" t="s">
        <v>1118</v>
      </c>
      <c r="B265" s="6" t="s">
        <v>1119</v>
      </c>
      <c r="C265" s="2" t="s">
        <v>57</v>
      </c>
      <c r="D265" s="2" t="s">
        <v>1120</v>
      </c>
      <c r="E265" s="5">
        <v>-3358.61</v>
      </c>
      <c r="F265" s="2" t="s">
        <v>415</v>
      </c>
      <c r="G265" s="6" t="s">
        <v>408</v>
      </c>
      <c r="H265" s="7" t="str">
        <f t="shared" si="1"/>
        <v>Florida Line Crew LLC|-3358.61</v>
      </c>
      <c r="I265" s="7">
        <f t="shared" si="2"/>
        <v>1</v>
      </c>
      <c r="J265" s="7" t="str">
        <f t="shared" si="3"/>
        <v>OK</v>
      </c>
    </row>
    <row r="266">
      <c r="A266" s="2" t="s">
        <v>1121</v>
      </c>
      <c r="B266" s="6" t="s">
        <v>1122</v>
      </c>
      <c r="C266" s="2" t="s">
        <v>36</v>
      </c>
      <c r="D266" s="2" t="s">
        <v>1123</v>
      </c>
      <c r="E266" s="5">
        <v>-13092.47</v>
      </c>
      <c r="F266" s="2" t="s">
        <v>407</v>
      </c>
      <c r="G266" s="6" t="s">
        <v>408</v>
      </c>
      <c r="H266" s="7" t="str">
        <f t="shared" si="1"/>
        <v>Tampa Grid Services|-13092.47</v>
      </c>
      <c r="I266" s="7">
        <f t="shared" si="2"/>
        <v>1</v>
      </c>
      <c r="J266" s="7" t="str">
        <f t="shared" si="3"/>
        <v>OK</v>
      </c>
    </row>
    <row r="267">
      <c r="A267" s="2" t="s">
        <v>1124</v>
      </c>
      <c r="B267" s="6" t="s">
        <v>1125</v>
      </c>
      <c r="C267" s="2" t="s">
        <v>30</v>
      </c>
      <c r="D267" s="2" t="s">
        <v>1126</v>
      </c>
      <c r="E267" s="5">
        <v>-12772.08</v>
      </c>
      <c r="F267" s="2" t="s">
        <v>415</v>
      </c>
      <c r="G267" s="6" t="s">
        <v>408</v>
      </c>
      <c r="H267" s="7" t="str">
        <f t="shared" si="1"/>
        <v>Tidal Contractors|-12772.08</v>
      </c>
      <c r="I267" s="7">
        <f t="shared" si="2"/>
        <v>1</v>
      </c>
      <c r="J267" s="7" t="str">
        <f t="shared" si="3"/>
        <v>OK</v>
      </c>
    </row>
    <row r="268">
      <c r="A268" s="2" t="s">
        <v>1127</v>
      </c>
      <c r="B268" s="6" t="s">
        <v>946</v>
      </c>
      <c r="C268" s="2" t="s">
        <v>27</v>
      </c>
      <c r="D268" s="2" t="s">
        <v>1128</v>
      </c>
      <c r="E268" s="5">
        <v>-14420.5</v>
      </c>
      <c r="F268" s="2" t="s">
        <v>415</v>
      </c>
      <c r="G268" s="6" t="s">
        <v>408</v>
      </c>
      <c r="H268" s="7" t="str">
        <f t="shared" si="1"/>
        <v>Sunline Electrical|-14420.5</v>
      </c>
      <c r="I268" s="7">
        <f t="shared" si="2"/>
        <v>1</v>
      </c>
      <c r="J268" s="7" t="str">
        <f t="shared" si="3"/>
        <v>OK</v>
      </c>
    </row>
    <row r="269">
      <c r="A269" s="2" t="s">
        <v>1129</v>
      </c>
      <c r="B269" s="6" t="s">
        <v>1119</v>
      </c>
      <c r="C269" s="2" t="s">
        <v>57</v>
      </c>
      <c r="D269" s="2" t="s">
        <v>1130</v>
      </c>
      <c r="E269" s="5">
        <v>-7102.63</v>
      </c>
      <c r="F269" s="2" t="s">
        <v>407</v>
      </c>
      <c r="G269" s="6" t="s">
        <v>408</v>
      </c>
      <c r="H269" s="7" t="str">
        <f t="shared" si="1"/>
        <v>Florida Line Crew LLC|-7102.63</v>
      </c>
      <c r="I269" s="7">
        <f t="shared" si="2"/>
        <v>1</v>
      </c>
      <c r="J269" s="7" t="str">
        <f t="shared" si="3"/>
        <v>OK</v>
      </c>
    </row>
    <row r="270">
      <c r="A270" s="2" t="s">
        <v>1131</v>
      </c>
      <c r="B270" s="6" t="s">
        <v>467</v>
      </c>
      <c r="C270" s="2" t="s">
        <v>57</v>
      </c>
      <c r="D270" s="2" t="s">
        <v>1132</v>
      </c>
      <c r="E270" s="5">
        <v>-21765.33</v>
      </c>
      <c r="F270" s="2" t="s">
        <v>415</v>
      </c>
      <c r="G270" s="6" t="s">
        <v>408</v>
      </c>
      <c r="H270" s="7" t="str">
        <f t="shared" si="1"/>
        <v>Florida Line Crew LLC|-21765.33</v>
      </c>
      <c r="I270" s="7">
        <f t="shared" si="2"/>
        <v>1</v>
      </c>
      <c r="J270" s="7" t="str">
        <f t="shared" si="3"/>
        <v>OK</v>
      </c>
    </row>
    <row r="271">
      <c r="A271" s="2" t="s">
        <v>1133</v>
      </c>
      <c r="B271" s="6" t="s">
        <v>704</v>
      </c>
      <c r="C271" s="2" t="s">
        <v>90</v>
      </c>
      <c r="D271" s="2" t="s">
        <v>1134</v>
      </c>
      <c r="E271" s="5">
        <v>-21243.26</v>
      </c>
      <c r="F271" s="2" t="s">
        <v>407</v>
      </c>
      <c r="G271" s="6" t="s">
        <v>408</v>
      </c>
      <c r="H271" s="7" t="str">
        <f t="shared" si="1"/>
        <v>Peak Materials Supply|-21243.26</v>
      </c>
      <c r="I271" s="7">
        <f t="shared" si="2"/>
        <v>1</v>
      </c>
      <c r="J271" s="7" t="str">
        <f t="shared" si="3"/>
        <v>OK</v>
      </c>
    </row>
    <row r="272">
      <c r="A272" s="2" t="s">
        <v>1135</v>
      </c>
      <c r="B272" s="6" t="s">
        <v>626</v>
      </c>
      <c r="C272" s="2" t="s">
        <v>42</v>
      </c>
      <c r="D272" s="2" t="s">
        <v>1136</v>
      </c>
      <c r="E272" s="5">
        <v>-15127.24</v>
      </c>
      <c r="F272" s="2" t="s">
        <v>407</v>
      </c>
      <c r="G272" s="6" t="s">
        <v>408</v>
      </c>
      <c r="H272" s="7" t="str">
        <f t="shared" si="1"/>
        <v>BrightPower Partners|-15127.24</v>
      </c>
      <c r="I272" s="7">
        <f t="shared" si="2"/>
        <v>1</v>
      </c>
      <c r="J272" s="7" t="str">
        <f t="shared" si="3"/>
        <v>OK</v>
      </c>
    </row>
    <row r="273">
      <c r="A273" s="2" t="s">
        <v>1137</v>
      </c>
      <c r="B273" s="6" t="s">
        <v>1138</v>
      </c>
      <c r="C273" s="2" t="s">
        <v>40</v>
      </c>
      <c r="D273" s="2" t="s">
        <v>1139</v>
      </c>
      <c r="E273" s="5">
        <v>-11697.71</v>
      </c>
      <c r="F273" s="2" t="s">
        <v>407</v>
      </c>
      <c r="G273" s="6" t="s">
        <v>408</v>
      </c>
      <c r="H273" s="7" t="str">
        <f t="shared" si="1"/>
        <v>Gulf Coast Telecom|-11697.71</v>
      </c>
      <c r="I273" s="7">
        <f t="shared" si="2"/>
        <v>1</v>
      </c>
      <c r="J273" s="7" t="str">
        <f t="shared" si="3"/>
        <v>OK</v>
      </c>
    </row>
    <row r="274">
      <c r="A274" s="2" t="s">
        <v>1140</v>
      </c>
      <c r="B274" s="6" t="s">
        <v>531</v>
      </c>
      <c r="C274" s="2" t="s">
        <v>18</v>
      </c>
      <c r="D274" s="2" t="s">
        <v>1141</v>
      </c>
      <c r="E274" s="5">
        <v>-11594.28</v>
      </c>
      <c r="F274" s="2" t="s">
        <v>407</v>
      </c>
      <c r="G274" s="6" t="s">
        <v>408</v>
      </c>
      <c r="H274" s="7" t="str">
        <f t="shared" si="1"/>
        <v>Tri-County Services|-11594.28</v>
      </c>
      <c r="I274" s="7">
        <f t="shared" si="2"/>
        <v>1</v>
      </c>
      <c r="J274" s="7" t="str">
        <f t="shared" si="3"/>
        <v>OK</v>
      </c>
    </row>
    <row r="275">
      <c r="A275" s="2" t="s">
        <v>1142</v>
      </c>
      <c r="B275" s="6" t="s">
        <v>1143</v>
      </c>
      <c r="C275" s="2" t="s">
        <v>27</v>
      </c>
      <c r="D275" s="2" t="s">
        <v>1144</v>
      </c>
      <c r="E275" s="5">
        <v>-2042.35</v>
      </c>
      <c r="F275" s="2" t="s">
        <v>407</v>
      </c>
      <c r="G275" s="6" t="s">
        <v>408</v>
      </c>
      <c r="H275" s="7" t="str">
        <f t="shared" si="1"/>
        <v>Sunline Electrical|-2042.35</v>
      </c>
      <c r="I275" s="7">
        <f t="shared" si="2"/>
        <v>1</v>
      </c>
      <c r="J275" s="7" t="str">
        <f t="shared" si="3"/>
        <v>OK</v>
      </c>
    </row>
    <row r="276">
      <c r="A276" s="2" t="s">
        <v>1145</v>
      </c>
      <c r="B276" s="6" t="s">
        <v>1146</v>
      </c>
      <c r="C276" s="2" t="s">
        <v>36</v>
      </c>
      <c r="D276" s="2" t="s">
        <v>1144</v>
      </c>
      <c r="E276" s="5">
        <v>-6632.65</v>
      </c>
      <c r="F276" s="2" t="s">
        <v>415</v>
      </c>
      <c r="G276" s="6" t="s">
        <v>408</v>
      </c>
      <c r="H276" s="7" t="str">
        <f t="shared" si="1"/>
        <v>Tampa Grid Services|-6632.65</v>
      </c>
      <c r="I276" s="7">
        <f t="shared" si="2"/>
        <v>1</v>
      </c>
      <c r="J276" s="7" t="str">
        <f t="shared" si="3"/>
        <v>OK</v>
      </c>
    </row>
    <row r="277">
      <c r="A277" s="2" t="s">
        <v>1147</v>
      </c>
      <c r="B277" s="6" t="s">
        <v>473</v>
      </c>
      <c r="C277" s="2" t="s">
        <v>23</v>
      </c>
      <c r="D277" s="2" t="s">
        <v>1144</v>
      </c>
      <c r="E277" s="5">
        <v>-4760.35</v>
      </c>
      <c r="F277" s="2" t="s">
        <v>407</v>
      </c>
      <c r="G277" s="6" t="s">
        <v>408</v>
      </c>
      <c r="H277" s="7" t="str">
        <f t="shared" si="1"/>
        <v>Atlantic Fiber Co|-4760.35</v>
      </c>
      <c r="I277" s="7">
        <f t="shared" si="2"/>
        <v>1</v>
      </c>
      <c r="J277" s="7" t="str">
        <f t="shared" si="3"/>
        <v>OK</v>
      </c>
    </row>
    <row r="278">
      <c r="A278" s="2" t="s">
        <v>1148</v>
      </c>
      <c r="B278" s="6" t="s">
        <v>1149</v>
      </c>
      <c r="C278" s="2" t="s">
        <v>27</v>
      </c>
      <c r="D278" s="2" t="s">
        <v>1144</v>
      </c>
      <c r="E278" s="5">
        <v>-3618.59</v>
      </c>
      <c r="F278" s="2" t="s">
        <v>407</v>
      </c>
      <c r="G278" s="6" t="s">
        <v>408</v>
      </c>
      <c r="H278" s="7" t="str">
        <f t="shared" si="1"/>
        <v>Sunline Electrical|-3618.59</v>
      </c>
      <c r="I278" s="7">
        <f t="shared" si="2"/>
        <v>1</v>
      </c>
      <c r="J278" s="7" t="str">
        <f t="shared" si="3"/>
        <v>OK</v>
      </c>
    </row>
    <row r="279">
      <c r="A279" s="2" t="s">
        <v>1150</v>
      </c>
      <c r="B279" s="6" t="s">
        <v>904</v>
      </c>
      <c r="C279" s="2" t="s">
        <v>62</v>
      </c>
      <c r="D279" s="2" t="s">
        <v>1144</v>
      </c>
      <c r="E279" s="5">
        <v>-7150.32</v>
      </c>
      <c r="F279" s="2" t="s">
        <v>407</v>
      </c>
      <c r="G279" s="6" t="s">
        <v>408</v>
      </c>
      <c r="H279" s="7" t="str">
        <f t="shared" si="1"/>
        <v>Bay Area Rentals|-7150.32</v>
      </c>
      <c r="I279" s="7">
        <f t="shared" si="2"/>
        <v>1</v>
      </c>
      <c r="J279" s="7" t="str">
        <f t="shared" si="3"/>
        <v>OK</v>
      </c>
    </row>
    <row r="280">
      <c r="A280" s="2" t="s">
        <v>1151</v>
      </c>
      <c r="B280" s="6" t="s">
        <v>1152</v>
      </c>
      <c r="C280" s="2" t="s">
        <v>90</v>
      </c>
      <c r="D280" s="2" t="s">
        <v>1144</v>
      </c>
      <c r="E280" s="5">
        <v>-3158.03</v>
      </c>
      <c r="F280" s="2" t="s">
        <v>415</v>
      </c>
      <c r="G280" s="6" t="s">
        <v>408</v>
      </c>
      <c r="H280" s="7" t="str">
        <f t="shared" si="1"/>
        <v>Peak Materials Supply|-3158.03</v>
      </c>
      <c r="I280" s="7">
        <f t="shared" si="2"/>
        <v>1</v>
      </c>
      <c r="J280" s="7" t="str">
        <f t="shared" si="3"/>
        <v>OK</v>
      </c>
    </row>
    <row r="281">
      <c r="A281" s="2" t="s">
        <v>1153</v>
      </c>
      <c r="B281" s="6" t="s">
        <v>441</v>
      </c>
      <c r="C281" s="2" t="s">
        <v>18</v>
      </c>
      <c r="D281" s="2" t="s">
        <v>1144</v>
      </c>
      <c r="E281" s="5">
        <v>-511.14</v>
      </c>
      <c r="F281" s="2" t="s">
        <v>407</v>
      </c>
      <c r="G281" s="6" t="s">
        <v>408</v>
      </c>
      <c r="H281" s="7" t="str">
        <f t="shared" si="1"/>
        <v>Tri-County Services|-511.14</v>
      </c>
      <c r="I281" s="7">
        <f t="shared" si="2"/>
        <v>1</v>
      </c>
      <c r="J281" s="7" t="str">
        <f t="shared" si="3"/>
        <v>OK</v>
      </c>
    </row>
    <row r="282">
      <c r="A282" s="2" t="s">
        <v>1154</v>
      </c>
      <c r="B282" s="6" t="s">
        <v>901</v>
      </c>
      <c r="C282" s="2" t="s">
        <v>36</v>
      </c>
      <c r="D282" s="2" t="s">
        <v>1144</v>
      </c>
      <c r="E282" s="5">
        <v>-4239.95</v>
      </c>
      <c r="F282" s="2" t="s">
        <v>415</v>
      </c>
      <c r="G282" s="6" t="s">
        <v>408</v>
      </c>
      <c r="H282" s="7" t="str">
        <f t="shared" si="1"/>
        <v>Tampa Grid Services|-4239.95</v>
      </c>
      <c r="I282" s="7">
        <f t="shared" si="2"/>
        <v>1</v>
      </c>
      <c r="J282" s="7" t="str">
        <f t="shared" si="3"/>
        <v>OK</v>
      </c>
    </row>
    <row r="283">
      <c r="A283" s="2" t="s">
        <v>1155</v>
      </c>
      <c r="B283" s="6" t="s">
        <v>473</v>
      </c>
      <c r="C283" s="2" t="s">
        <v>27</v>
      </c>
      <c r="D283" s="2" t="s">
        <v>1144</v>
      </c>
      <c r="E283" s="5">
        <v>-3615.08</v>
      </c>
      <c r="F283" s="2" t="s">
        <v>407</v>
      </c>
      <c r="G283" s="6" t="s">
        <v>408</v>
      </c>
      <c r="H283" s="7" t="str">
        <f t="shared" si="1"/>
        <v>Sunline Electrical|-3615.08</v>
      </c>
      <c r="I283" s="7">
        <f t="shared" si="2"/>
        <v>1</v>
      </c>
      <c r="J283" s="7" t="str">
        <f t="shared" si="3"/>
        <v>OK</v>
      </c>
    </row>
    <row r="284">
      <c r="A284" s="2" t="s">
        <v>1156</v>
      </c>
      <c r="B284" s="6" t="s">
        <v>748</v>
      </c>
      <c r="C284" s="2" t="s">
        <v>42</v>
      </c>
      <c r="D284" s="2" t="s">
        <v>1144</v>
      </c>
      <c r="E284" s="5">
        <v>-644.79</v>
      </c>
      <c r="F284" s="2" t="s">
        <v>407</v>
      </c>
      <c r="G284" s="6" t="s">
        <v>408</v>
      </c>
      <c r="H284" s="7" t="str">
        <f t="shared" si="1"/>
        <v>BrightPower Partners|-644.79</v>
      </c>
      <c r="I284" s="7">
        <f t="shared" si="2"/>
        <v>1</v>
      </c>
      <c r="J284" s="7" t="str">
        <f t="shared" si="3"/>
        <v>OK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1157</v>
      </c>
      <c r="B1" s="2" t="s">
        <v>1158</v>
      </c>
      <c r="C1" s="2" t="s">
        <v>1159</v>
      </c>
    </row>
    <row r="2">
      <c r="A2" s="6" t="s">
        <v>1160</v>
      </c>
      <c r="B2" s="6" t="s">
        <v>1161</v>
      </c>
      <c r="C2" s="6" t="s">
        <v>1162</v>
      </c>
    </row>
    <row r="3">
      <c r="A3" s="6" t="s">
        <v>1163</v>
      </c>
      <c r="B3" s="6" t="s">
        <v>1164</v>
      </c>
      <c r="C3" s="6" t="s">
        <v>1165</v>
      </c>
    </row>
    <row r="4">
      <c r="A4" s="6" t="s">
        <v>1166</v>
      </c>
      <c r="B4" s="6" t="s">
        <v>1167</v>
      </c>
      <c r="C4" s="6" t="s">
        <v>1168</v>
      </c>
    </row>
    <row r="5">
      <c r="A5" s="6" t="s">
        <v>1169</v>
      </c>
      <c r="B5" s="6" t="s">
        <v>1170</v>
      </c>
      <c r="C5" s="6" t="s">
        <v>1171</v>
      </c>
    </row>
    <row r="6">
      <c r="A6" s="6" t="s">
        <v>1172</v>
      </c>
      <c r="B6" s="6" t="s">
        <v>1173</v>
      </c>
      <c r="C6" s="6" t="s">
        <v>1174</v>
      </c>
    </row>
    <row r="7">
      <c r="A7" s="6" t="s">
        <v>1175</v>
      </c>
      <c r="B7" s="6" t="s">
        <v>1176</v>
      </c>
      <c r="C7" s="6" t="s">
        <v>1177</v>
      </c>
    </row>
    <row r="8">
      <c r="A8" s="6" t="s">
        <v>1178</v>
      </c>
      <c r="B8" s="6" t="s">
        <v>1179</v>
      </c>
      <c r="C8" s="6" t="s">
        <v>1180</v>
      </c>
    </row>
    <row r="9">
      <c r="A9" s="6" t="s">
        <v>1181</v>
      </c>
      <c r="B9" s="6" t="s">
        <v>1182</v>
      </c>
      <c r="C9" s="6" t="s">
        <v>1183</v>
      </c>
    </row>
    <row r="10">
      <c r="A10" s="6" t="s">
        <v>1184</v>
      </c>
      <c r="B10" s="6" t="s">
        <v>1185</v>
      </c>
      <c r="C10" s="6" t="s">
        <v>1186</v>
      </c>
    </row>
    <row r="11">
      <c r="A11" s="6" t="s">
        <v>1187</v>
      </c>
      <c r="B11" s="6" t="s">
        <v>1188</v>
      </c>
      <c r="C11" s="6" t="s">
        <v>1189</v>
      </c>
    </row>
    <row r="12">
      <c r="A12" s="6" t="s">
        <v>1190</v>
      </c>
      <c r="B12" s="6" t="s">
        <v>1191</v>
      </c>
      <c r="C12" s="6" t="s">
        <v>1192</v>
      </c>
    </row>
    <row r="13">
      <c r="A13" s="6" t="s">
        <v>1193</v>
      </c>
      <c r="B13" s="6" t="s">
        <v>1194</v>
      </c>
      <c r="C13" s="6" t="s">
        <v>1195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2.75"/>
  </cols>
  <sheetData>
    <row r="1">
      <c r="A1" s="2" t="s">
        <v>0</v>
      </c>
      <c r="B1" s="2" t="s">
        <v>1196</v>
      </c>
      <c r="C1" s="8" t="s">
        <v>1197</v>
      </c>
      <c r="D1" s="8" t="s">
        <v>1198</v>
      </c>
      <c r="E1" s="2" t="s">
        <v>1199</v>
      </c>
      <c r="F1" s="2" t="s">
        <v>1200</v>
      </c>
      <c r="G1" s="2" t="s">
        <v>1201</v>
      </c>
      <c r="H1" s="2" t="s">
        <v>1202</v>
      </c>
      <c r="I1" s="2" t="s">
        <v>1203</v>
      </c>
      <c r="J1" s="2" t="s">
        <v>1204</v>
      </c>
    </row>
    <row r="2">
      <c r="A2" s="2" t="s">
        <v>17</v>
      </c>
      <c r="B2" s="2" t="s">
        <v>1205</v>
      </c>
      <c r="C2" s="8">
        <v>4994.15</v>
      </c>
      <c r="D2" s="8">
        <v>0.07</v>
      </c>
      <c r="E2" s="2">
        <f t="shared" ref="E2:E351" si="1">IF(RAND() &lt; 0.12,
     CHOOSE(RANDBETWEEN(1,4),
        0,                                  
        ROUND(C2 * (D2 - 0.01), 2),         
        ROUND(C2 * (D2 + 0.01), 2),         
        ROUND(C2 * D2 * 2, 2)               
     ),
     ROUND(C2 * D2, 2)                      
)
</f>
        <v>349.59</v>
      </c>
      <c r="F2" s="2" t="s">
        <v>1206</v>
      </c>
      <c r="G2" s="2">
        <f t="shared" ref="G2:G351" si="2">ROUND(C2 * D2, 2)
</f>
        <v>349.59</v>
      </c>
      <c r="H2" s="2" t="str">
        <f t="shared" ref="H2:H351" si="3">IF(ABS(E2 - G2) &gt; 0.01, "Mismatch", "OK")
</f>
        <v>OK</v>
      </c>
      <c r="I2" s="2">
        <f t="array" ref="I2">IFERROR(XLOOKUP(XLOOKUP(A2, AP_Subledger!A:A, AP_Subledger!H:H), Tax_Rates_Reference!A:A, Tax_Rates_Reference!C:C), "")
</f>
        <v>0.07</v>
      </c>
      <c r="J2" s="2" t="b">
        <f t="shared" ref="J2:J351" si="4">IF(I2="", "", IF(ABS(D2 - I2) &lt; 0.0001, TRUE, FALSE))
</f>
        <v>1</v>
      </c>
    </row>
    <row r="3">
      <c r="A3" s="2" t="s">
        <v>22</v>
      </c>
      <c r="B3" s="2" t="s">
        <v>1205</v>
      </c>
      <c r="C3" s="8">
        <v>2949.39</v>
      </c>
      <c r="D3" s="8">
        <v>0.06</v>
      </c>
      <c r="E3" s="2">
        <f t="shared" si="1"/>
        <v>176.96</v>
      </c>
      <c r="F3" s="2" t="s">
        <v>1206</v>
      </c>
      <c r="G3" s="2">
        <f t="shared" si="2"/>
        <v>176.96</v>
      </c>
      <c r="H3" s="2" t="str">
        <f t="shared" si="3"/>
        <v>OK</v>
      </c>
      <c r="I3" s="2">
        <f t="array" ref="I3">IFERROR(XLOOKUP(XLOOKUP(A3, AP_Subledger!A:A, AP_Subledger!H:H), Tax_Rates_Reference!A:A, Tax_Rates_Reference!C:C), "")
</f>
        <v>0.06</v>
      </c>
      <c r="J3" s="2" t="b">
        <f t="shared" si="4"/>
        <v>1</v>
      </c>
    </row>
    <row r="4">
      <c r="A4" s="2" t="s">
        <v>26</v>
      </c>
      <c r="B4" s="2" t="s">
        <v>1205</v>
      </c>
      <c r="C4" s="8">
        <v>24262.79</v>
      </c>
      <c r="D4" s="8">
        <v>0.07</v>
      </c>
      <c r="E4" s="2">
        <f t="shared" si="1"/>
        <v>1698.4</v>
      </c>
      <c r="F4" s="2" t="s">
        <v>1206</v>
      </c>
      <c r="G4" s="2">
        <f t="shared" si="2"/>
        <v>1698.4</v>
      </c>
      <c r="H4" s="2" t="str">
        <f t="shared" si="3"/>
        <v>OK</v>
      </c>
      <c r="I4" s="2">
        <f t="array" ref="I4">IFERROR(XLOOKUP(XLOOKUP(A4, AP_Subledger!A:A, AP_Subledger!H:H), Tax_Rates_Reference!A:A, Tax_Rates_Reference!C:C), "")
</f>
        <v>0.07</v>
      </c>
      <c r="J4" s="2" t="b">
        <f t="shared" si="4"/>
        <v>1</v>
      </c>
    </row>
    <row r="5">
      <c r="A5" s="2" t="s">
        <v>29</v>
      </c>
      <c r="B5" s="2" t="s">
        <v>1205</v>
      </c>
      <c r="C5" s="8">
        <v>15628.3</v>
      </c>
      <c r="D5" s="8">
        <v>0.06</v>
      </c>
      <c r="E5" s="2">
        <f t="shared" si="1"/>
        <v>937.7</v>
      </c>
      <c r="F5" s="2" t="s">
        <v>1206</v>
      </c>
      <c r="G5" s="2">
        <f t="shared" si="2"/>
        <v>937.7</v>
      </c>
      <c r="H5" s="2" t="str">
        <f t="shared" si="3"/>
        <v>OK</v>
      </c>
      <c r="I5" s="2">
        <f t="array" ref="I5">IFERROR(XLOOKUP(XLOOKUP(A5, AP_Subledger!A:A, AP_Subledger!H:H), Tax_Rates_Reference!A:A, Tax_Rates_Reference!C:C), "")
</f>
        <v>0.06</v>
      </c>
      <c r="J5" s="2" t="b">
        <f t="shared" si="4"/>
        <v>1</v>
      </c>
    </row>
    <row r="6">
      <c r="A6" s="2" t="s">
        <v>33</v>
      </c>
      <c r="B6" s="2" t="s">
        <v>1205</v>
      </c>
      <c r="C6" s="8">
        <v>1643.31</v>
      </c>
      <c r="D6" s="8">
        <v>0.075</v>
      </c>
      <c r="E6" s="2">
        <f t="shared" si="1"/>
        <v>123.25</v>
      </c>
      <c r="F6" s="2" t="s">
        <v>1206</v>
      </c>
      <c r="G6" s="2">
        <f t="shared" si="2"/>
        <v>123.25</v>
      </c>
      <c r="H6" s="2" t="str">
        <f t="shared" si="3"/>
        <v>OK</v>
      </c>
      <c r="I6" s="2">
        <f t="array" ref="I6">IFERROR(XLOOKUP(XLOOKUP(A6, AP_Subledger!A:A, AP_Subledger!H:H), Tax_Rates_Reference!A:A, Tax_Rates_Reference!C:C), "")
</f>
        <v>0.075</v>
      </c>
      <c r="J6" s="2" t="b">
        <f t="shared" si="4"/>
        <v>1</v>
      </c>
    </row>
    <row r="7">
      <c r="A7" s="2" t="s">
        <v>35</v>
      </c>
      <c r="B7" s="2" t="s">
        <v>1205</v>
      </c>
      <c r="C7" s="8">
        <v>19736.81</v>
      </c>
      <c r="D7" s="8">
        <v>0.07</v>
      </c>
      <c r="E7" s="2">
        <f t="shared" si="1"/>
        <v>1381.58</v>
      </c>
      <c r="F7" s="2" t="s">
        <v>1206</v>
      </c>
      <c r="G7" s="2">
        <f t="shared" si="2"/>
        <v>1381.58</v>
      </c>
      <c r="H7" s="2" t="str">
        <f t="shared" si="3"/>
        <v>OK</v>
      </c>
      <c r="I7" s="2">
        <f t="array" ref="I7">IFERROR(XLOOKUP(XLOOKUP(A7, AP_Subledger!A:A, AP_Subledger!H:H), Tax_Rates_Reference!A:A, Tax_Rates_Reference!C:C), "")
</f>
        <v>0.07</v>
      </c>
      <c r="J7" s="2" t="b">
        <f t="shared" si="4"/>
        <v>1</v>
      </c>
    </row>
    <row r="8">
      <c r="A8" s="2" t="s">
        <v>38</v>
      </c>
      <c r="B8" s="2" t="s">
        <v>1205</v>
      </c>
      <c r="C8" s="8">
        <v>1638.04</v>
      </c>
      <c r="D8" s="8">
        <v>0.08</v>
      </c>
      <c r="E8" s="2">
        <f t="shared" si="1"/>
        <v>131.04</v>
      </c>
      <c r="F8" s="2" t="s">
        <v>1206</v>
      </c>
      <c r="G8" s="2">
        <f t="shared" si="2"/>
        <v>131.04</v>
      </c>
      <c r="H8" s="2" t="str">
        <f t="shared" si="3"/>
        <v>OK</v>
      </c>
      <c r="I8" s="2">
        <f t="array" ref="I8">IFERROR(XLOOKUP(XLOOKUP(A8, AP_Subledger!A:A, AP_Subledger!H:H), Tax_Rates_Reference!A:A, Tax_Rates_Reference!C:C), "")
</f>
        <v>0.06</v>
      </c>
      <c r="J8" s="2" t="b">
        <f t="shared" si="4"/>
        <v>0</v>
      </c>
    </row>
    <row r="9">
      <c r="A9" s="2" t="s">
        <v>39</v>
      </c>
      <c r="B9" s="2" t="s">
        <v>1205</v>
      </c>
      <c r="C9" s="8">
        <v>23747.7</v>
      </c>
      <c r="D9" s="8">
        <v>0.075</v>
      </c>
      <c r="E9" s="2">
        <f t="shared" si="1"/>
        <v>1781.08</v>
      </c>
      <c r="F9" s="2" t="s">
        <v>1206</v>
      </c>
      <c r="G9" s="2">
        <f t="shared" si="2"/>
        <v>1781.08</v>
      </c>
      <c r="H9" s="2" t="str">
        <f t="shared" si="3"/>
        <v>OK</v>
      </c>
      <c r="I9" s="2">
        <f t="array" ref="I9">IFERROR(XLOOKUP(XLOOKUP(A9, AP_Subledger!A:A, AP_Subledger!H:H), Tax_Rates_Reference!A:A, Tax_Rates_Reference!C:C), "")
</f>
        <v>0.075</v>
      </c>
      <c r="J9" s="2" t="b">
        <f t="shared" si="4"/>
        <v>1</v>
      </c>
    </row>
    <row r="10">
      <c r="A10" s="2" t="s">
        <v>41</v>
      </c>
      <c r="B10" s="2" t="s">
        <v>1205</v>
      </c>
      <c r="C10" s="8">
        <v>891.17</v>
      </c>
      <c r="D10" s="8">
        <v>0.04</v>
      </c>
      <c r="E10" s="2">
        <f t="shared" si="1"/>
        <v>35.65</v>
      </c>
      <c r="F10" s="2" t="s">
        <v>1206</v>
      </c>
      <c r="G10" s="2">
        <f t="shared" si="2"/>
        <v>35.65</v>
      </c>
      <c r="H10" s="2" t="str">
        <f t="shared" si="3"/>
        <v>OK</v>
      </c>
      <c r="I10" s="2">
        <f t="array" ref="I10">IFERROR(XLOOKUP(XLOOKUP(A10, AP_Subledger!A:A, AP_Subledger!H:H), Tax_Rates_Reference!A:A, Tax_Rates_Reference!C:C), "")
</f>
        <v>0.06</v>
      </c>
      <c r="J10" s="2" t="b">
        <f t="shared" si="4"/>
        <v>0</v>
      </c>
    </row>
    <row r="11">
      <c r="A11" s="2" t="s">
        <v>43</v>
      </c>
      <c r="B11" s="2" t="s">
        <v>1205</v>
      </c>
      <c r="C11" s="8">
        <v>22778.35</v>
      </c>
      <c r="D11" s="8">
        <v>0.07</v>
      </c>
      <c r="E11" s="2">
        <f t="shared" si="1"/>
        <v>1594.48</v>
      </c>
      <c r="F11" s="2" t="s">
        <v>1206</v>
      </c>
      <c r="G11" s="2">
        <f t="shared" si="2"/>
        <v>1594.48</v>
      </c>
      <c r="H11" s="2" t="str">
        <f t="shared" si="3"/>
        <v>OK</v>
      </c>
      <c r="I11" s="2">
        <f t="array" ref="I11">IFERROR(XLOOKUP(XLOOKUP(A11, AP_Subledger!A:A, AP_Subledger!H:H), Tax_Rates_Reference!A:A, Tax_Rates_Reference!C:C), "")
</f>
        <v>0.07</v>
      </c>
      <c r="J11" s="2" t="b">
        <f t="shared" si="4"/>
        <v>1</v>
      </c>
    </row>
    <row r="12">
      <c r="A12" s="2" t="s">
        <v>44</v>
      </c>
      <c r="B12" s="2" t="s">
        <v>1205</v>
      </c>
      <c r="C12" s="8">
        <v>5594.57</v>
      </c>
      <c r="D12" s="8">
        <v>0.065</v>
      </c>
      <c r="E12" s="2">
        <f t="shared" si="1"/>
        <v>363.65</v>
      </c>
      <c r="F12" s="2" t="s">
        <v>1206</v>
      </c>
      <c r="G12" s="2">
        <f t="shared" si="2"/>
        <v>363.65</v>
      </c>
      <c r="H12" s="2" t="str">
        <f t="shared" si="3"/>
        <v>OK</v>
      </c>
      <c r="I12" s="2">
        <f t="array" ref="I12">IFERROR(XLOOKUP(XLOOKUP(A12, AP_Subledger!A:A, AP_Subledger!H:H), Tax_Rates_Reference!A:A, Tax_Rates_Reference!C:C), "")
</f>
        <v>0.065</v>
      </c>
      <c r="J12" s="2" t="b">
        <f t="shared" si="4"/>
        <v>1</v>
      </c>
    </row>
    <row r="13">
      <c r="A13" s="2" t="s">
        <v>46</v>
      </c>
      <c r="B13" s="2" t="s">
        <v>1205</v>
      </c>
      <c r="C13" s="8">
        <v>10181.18</v>
      </c>
      <c r="D13" s="8">
        <v>0.065</v>
      </c>
      <c r="E13" s="2">
        <f t="shared" si="1"/>
        <v>661.78</v>
      </c>
      <c r="F13" s="2" t="s">
        <v>1206</v>
      </c>
      <c r="G13" s="2">
        <f t="shared" si="2"/>
        <v>661.78</v>
      </c>
      <c r="H13" s="2" t="str">
        <f t="shared" si="3"/>
        <v>OK</v>
      </c>
      <c r="I13" s="2">
        <f t="array" ref="I13">IFERROR(XLOOKUP(XLOOKUP(A13, AP_Subledger!A:A, AP_Subledger!H:H), Tax_Rates_Reference!A:A, Tax_Rates_Reference!C:C), "")
</f>
        <v>0.065</v>
      </c>
      <c r="J13" s="2" t="b">
        <f t="shared" si="4"/>
        <v>1</v>
      </c>
    </row>
    <row r="14">
      <c r="A14" s="2" t="s">
        <v>48</v>
      </c>
      <c r="B14" s="2" t="s">
        <v>1205</v>
      </c>
      <c r="C14" s="8">
        <v>2668.07</v>
      </c>
      <c r="D14" s="8">
        <v>0.065</v>
      </c>
      <c r="E14" s="2">
        <f t="shared" si="1"/>
        <v>173.42</v>
      </c>
      <c r="F14" s="2" t="s">
        <v>1206</v>
      </c>
      <c r="G14" s="2">
        <f t="shared" si="2"/>
        <v>173.42</v>
      </c>
      <c r="H14" s="2" t="str">
        <f t="shared" si="3"/>
        <v>OK</v>
      </c>
      <c r="I14" s="2">
        <f t="array" ref="I14">IFERROR(XLOOKUP(XLOOKUP(A14, AP_Subledger!A:A, AP_Subledger!H:H), Tax_Rates_Reference!A:A, Tax_Rates_Reference!C:C), "")
</f>
        <v>0.065</v>
      </c>
      <c r="J14" s="2" t="b">
        <f t="shared" si="4"/>
        <v>1</v>
      </c>
    </row>
    <row r="15">
      <c r="A15" s="2" t="s">
        <v>52</v>
      </c>
      <c r="B15" s="2" t="s">
        <v>1205</v>
      </c>
      <c r="C15" s="8">
        <v>18809.34</v>
      </c>
      <c r="D15" s="8">
        <v>0.05</v>
      </c>
      <c r="E15" s="2">
        <f t="shared" si="1"/>
        <v>940.47</v>
      </c>
      <c r="F15" s="2" t="s">
        <v>1206</v>
      </c>
      <c r="G15" s="2">
        <f t="shared" si="2"/>
        <v>940.47</v>
      </c>
      <c r="H15" s="2" t="str">
        <f t="shared" si="3"/>
        <v>OK</v>
      </c>
      <c r="I15" s="2">
        <f t="array" ref="I15">IFERROR(XLOOKUP(XLOOKUP(A15, AP_Subledger!A:A, AP_Subledger!H:H), Tax_Rates_Reference!A:A, Tax_Rates_Reference!C:C), "")
</f>
        <v>0.07</v>
      </c>
      <c r="J15" s="2" t="b">
        <f t="shared" si="4"/>
        <v>0</v>
      </c>
    </row>
    <row r="16">
      <c r="A16" s="2" t="s">
        <v>53</v>
      </c>
      <c r="B16" s="2" t="s">
        <v>1205</v>
      </c>
      <c r="C16" s="8">
        <v>13796.05</v>
      </c>
      <c r="D16" s="8">
        <v>0.07</v>
      </c>
      <c r="E16" s="2">
        <f t="shared" si="1"/>
        <v>1103.68</v>
      </c>
      <c r="F16" s="2" t="s">
        <v>1206</v>
      </c>
      <c r="G16" s="2">
        <f t="shared" si="2"/>
        <v>965.72</v>
      </c>
      <c r="H16" s="2" t="str">
        <f t="shared" si="3"/>
        <v>Mismatch</v>
      </c>
      <c r="I16" s="2">
        <f t="array" ref="I16">IFERROR(XLOOKUP(XLOOKUP(A16, AP_Subledger!A:A, AP_Subledger!H:H), Tax_Rates_Reference!A:A, Tax_Rates_Reference!C:C), "")
</f>
        <v>0.07</v>
      </c>
      <c r="J16" s="2" t="b">
        <f t="shared" si="4"/>
        <v>1</v>
      </c>
    </row>
    <row r="17">
      <c r="A17" s="2" t="s">
        <v>55</v>
      </c>
      <c r="B17" s="2" t="s">
        <v>1205</v>
      </c>
      <c r="C17" s="8">
        <v>24678.73</v>
      </c>
      <c r="D17" s="8">
        <v>0.075</v>
      </c>
      <c r="E17" s="2">
        <f t="shared" si="1"/>
        <v>1850.9</v>
      </c>
      <c r="F17" s="2" t="s">
        <v>1206</v>
      </c>
      <c r="G17" s="2">
        <f t="shared" si="2"/>
        <v>1850.9</v>
      </c>
      <c r="H17" s="2" t="str">
        <f t="shared" si="3"/>
        <v>OK</v>
      </c>
      <c r="I17" s="2">
        <f t="array" ref="I17">IFERROR(XLOOKUP(XLOOKUP(A17, AP_Subledger!A:A, AP_Subledger!H:H), Tax_Rates_Reference!A:A, Tax_Rates_Reference!C:C), "")
</f>
        <v>0.075</v>
      </c>
      <c r="J17" s="2" t="b">
        <f t="shared" si="4"/>
        <v>1</v>
      </c>
    </row>
    <row r="18">
      <c r="A18" s="2" t="s">
        <v>56</v>
      </c>
      <c r="B18" s="2" t="s">
        <v>1205</v>
      </c>
      <c r="C18" s="8">
        <v>17818.0</v>
      </c>
      <c r="D18" s="8">
        <v>0.07</v>
      </c>
      <c r="E18" s="2">
        <f t="shared" si="1"/>
        <v>1247.26</v>
      </c>
      <c r="F18" s="2" t="s">
        <v>1206</v>
      </c>
      <c r="G18" s="2">
        <f t="shared" si="2"/>
        <v>1247.26</v>
      </c>
      <c r="H18" s="2" t="str">
        <f t="shared" si="3"/>
        <v>OK</v>
      </c>
      <c r="I18" s="2">
        <f t="array" ref="I18">IFERROR(XLOOKUP(XLOOKUP(A18, AP_Subledger!A:A, AP_Subledger!H:H), Tax_Rates_Reference!A:A, Tax_Rates_Reference!C:C), "")
</f>
        <v>0.07</v>
      </c>
      <c r="J18" s="2" t="b">
        <f t="shared" si="4"/>
        <v>1</v>
      </c>
    </row>
    <row r="19">
      <c r="A19" s="2" t="s">
        <v>58</v>
      </c>
      <c r="B19" s="2" t="s">
        <v>1205</v>
      </c>
      <c r="C19" s="8">
        <v>16451.39</v>
      </c>
      <c r="D19" s="8">
        <v>0.06</v>
      </c>
      <c r="E19" s="2">
        <f t="shared" si="1"/>
        <v>987.08</v>
      </c>
      <c r="F19" s="2" t="s">
        <v>1206</v>
      </c>
      <c r="G19" s="2">
        <f t="shared" si="2"/>
        <v>987.08</v>
      </c>
      <c r="H19" s="2" t="str">
        <f t="shared" si="3"/>
        <v>OK</v>
      </c>
      <c r="I19" s="2">
        <f t="array" ref="I19">IFERROR(XLOOKUP(XLOOKUP(A19, AP_Subledger!A:A, AP_Subledger!H:H), Tax_Rates_Reference!A:A, Tax_Rates_Reference!C:C), "")
</f>
        <v>0.06</v>
      </c>
      <c r="J19" s="2" t="b">
        <f t="shared" si="4"/>
        <v>1</v>
      </c>
    </row>
    <row r="20">
      <c r="A20" s="2" t="s">
        <v>61</v>
      </c>
      <c r="B20" s="2" t="s">
        <v>1205</v>
      </c>
      <c r="C20" s="8">
        <v>8607.0</v>
      </c>
      <c r="D20" s="8">
        <v>0.07</v>
      </c>
      <c r="E20" s="2">
        <f t="shared" si="1"/>
        <v>602.49</v>
      </c>
      <c r="F20" s="2" t="s">
        <v>1206</v>
      </c>
      <c r="G20" s="2">
        <f t="shared" si="2"/>
        <v>602.49</v>
      </c>
      <c r="H20" s="2" t="str">
        <f t="shared" si="3"/>
        <v>OK</v>
      </c>
      <c r="I20" s="2">
        <f t="array" ref="I20">IFERROR(XLOOKUP(XLOOKUP(A20, AP_Subledger!A:A, AP_Subledger!H:H), Tax_Rates_Reference!A:A, Tax_Rates_Reference!C:C), "")
</f>
        <v>0.07</v>
      </c>
      <c r="J20" s="2" t="b">
        <f t="shared" si="4"/>
        <v>1</v>
      </c>
    </row>
    <row r="21">
      <c r="A21" s="2" t="s">
        <v>63</v>
      </c>
      <c r="B21" s="2" t="s">
        <v>1205</v>
      </c>
      <c r="C21" s="8">
        <v>18375.35</v>
      </c>
      <c r="D21" s="8">
        <v>0.08</v>
      </c>
      <c r="E21" s="2">
        <f t="shared" si="1"/>
        <v>1470.03</v>
      </c>
      <c r="F21" s="2" t="s">
        <v>1206</v>
      </c>
      <c r="G21" s="2">
        <f t="shared" si="2"/>
        <v>1470.03</v>
      </c>
      <c r="H21" s="2" t="str">
        <f t="shared" si="3"/>
        <v>OK</v>
      </c>
      <c r="I21" s="2">
        <f t="array" ref="I21">IFERROR(XLOOKUP(XLOOKUP(A21, AP_Subledger!A:A, AP_Subledger!H:H), Tax_Rates_Reference!A:A, Tax_Rates_Reference!C:C), "")
</f>
        <v>0.06</v>
      </c>
      <c r="J21" s="2" t="b">
        <f t="shared" si="4"/>
        <v>0</v>
      </c>
    </row>
    <row r="22">
      <c r="A22" s="2" t="s">
        <v>64</v>
      </c>
      <c r="B22" s="2" t="s">
        <v>1205</v>
      </c>
      <c r="C22" s="8">
        <v>17974.5</v>
      </c>
      <c r="D22" s="8">
        <v>0.075</v>
      </c>
      <c r="E22" s="2">
        <f t="shared" si="1"/>
        <v>1348.09</v>
      </c>
      <c r="F22" s="2" t="s">
        <v>1206</v>
      </c>
      <c r="G22" s="2">
        <f t="shared" si="2"/>
        <v>1348.09</v>
      </c>
      <c r="H22" s="2" t="str">
        <f t="shared" si="3"/>
        <v>OK</v>
      </c>
      <c r="I22" s="2">
        <f t="array" ref="I22">IFERROR(XLOOKUP(XLOOKUP(A22, AP_Subledger!A:A, AP_Subledger!H:H), Tax_Rates_Reference!A:A, Tax_Rates_Reference!C:C), "")
</f>
        <v>0.075</v>
      </c>
      <c r="J22" s="2" t="b">
        <f t="shared" si="4"/>
        <v>1</v>
      </c>
    </row>
    <row r="23">
      <c r="A23" s="2" t="s">
        <v>65</v>
      </c>
      <c r="B23" s="2" t="s">
        <v>1205</v>
      </c>
      <c r="C23" s="8">
        <v>17911.24</v>
      </c>
      <c r="D23" s="8">
        <v>0.06</v>
      </c>
      <c r="E23" s="2">
        <f t="shared" si="1"/>
        <v>1074.67</v>
      </c>
      <c r="F23" s="2" t="s">
        <v>1206</v>
      </c>
      <c r="G23" s="2">
        <f t="shared" si="2"/>
        <v>1074.67</v>
      </c>
      <c r="H23" s="2" t="str">
        <f t="shared" si="3"/>
        <v>OK</v>
      </c>
      <c r="I23" s="2">
        <f t="array" ref="I23">IFERROR(XLOOKUP(XLOOKUP(A23, AP_Subledger!A:A, AP_Subledger!H:H), Tax_Rates_Reference!A:A, Tax_Rates_Reference!C:C), "")
</f>
        <v>0.06</v>
      </c>
      <c r="J23" s="2" t="b">
        <f t="shared" si="4"/>
        <v>1</v>
      </c>
    </row>
    <row r="24">
      <c r="A24" s="2" t="s">
        <v>66</v>
      </c>
      <c r="B24" s="2" t="s">
        <v>1205</v>
      </c>
      <c r="C24" s="8">
        <v>12146.57</v>
      </c>
      <c r="D24" s="8">
        <v>0.06</v>
      </c>
      <c r="E24" s="2">
        <f t="shared" si="1"/>
        <v>728.79</v>
      </c>
      <c r="F24" s="2" t="s">
        <v>1206</v>
      </c>
      <c r="G24" s="2">
        <f t="shared" si="2"/>
        <v>728.79</v>
      </c>
      <c r="H24" s="2" t="str">
        <f t="shared" si="3"/>
        <v>OK</v>
      </c>
      <c r="I24" s="2">
        <f t="array" ref="I24">IFERROR(XLOOKUP(XLOOKUP(A24, AP_Subledger!A:A, AP_Subledger!H:H), Tax_Rates_Reference!A:A, Tax_Rates_Reference!C:C), "")
</f>
        <v>0.06</v>
      </c>
      <c r="J24" s="2" t="b">
        <f t="shared" si="4"/>
        <v>1</v>
      </c>
    </row>
    <row r="25">
      <c r="A25" s="2" t="s">
        <v>67</v>
      </c>
      <c r="B25" s="2" t="s">
        <v>1205</v>
      </c>
      <c r="C25" s="8">
        <v>15308.23</v>
      </c>
      <c r="D25" s="8">
        <v>0.075</v>
      </c>
      <c r="E25" s="2">
        <f t="shared" si="1"/>
        <v>1148.12</v>
      </c>
      <c r="F25" s="2" t="s">
        <v>1206</v>
      </c>
      <c r="G25" s="2">
        <f t="shared" si="2"/>
        <v>1148.12</v>
      </c>
      <c r="H25" s="2" t="str">
        <f t="shared" si="3"/>
        <v>OK</v>
      </c>
      <c r="I25" s="2">
        <f t="array" ref="I25">IFERROR(XLOOKUP(XLOOKUP(A25, AP_Subledger!A:A, AP_Subledger!H:H), Tax_Rates_Reference!A:A, Tax_Rates_Reference!C:C), "")
</f>
        <v>0.075</v>
      </c>
      <c r="J25" s="2" t="b">
        <f t="shared" si="4"/>
        <v>1</v>
      </c>
    </row>
    <row r="26">
      <c r="A26" s="2" t="s">
        <v>68</v>
      </c>
      <c r="B26" s="2" t="s">
        <v>1205</v>
      </c>
      <c r="C26" s="8">
        <v>15172.2</v>
      </c>
      <c r="D26" s="8">
        <v>0.065</v>
      </c>
      <c r="E26" s="2">
        <f t="shared" si="1"/>
        <v>986.19</v>
      </c>
      <c r="F26" s="2" t="s">
        <v>1206</v>
      </c>
      <c r="G26" s="2">
        <f t="shared" si="2"/>
        <v>986.19</v>
      </c>
      <c r="H26" s="2" t="str">
        <f t="shared" si="3"/>
        <v>OK</v>
      </c>
      <c r="I26" s="2">
        <f t="array" ref="I26">IFERROR(XLOOKUP(XLOOKUP(A26, AP_Subledger!A:A, AP_Subledger!H:H), Tax_Rates_Reference!A:A, Tax_Rates_Reference!C:C), "")
</f>
        <v>0.065</v>
      </c>
      <c r="J26" s="2" t="b">
        <f t="shared" si="4"/>
        <v>1</v>
      </c>
    </row>
    <row r="27">
      <c r="A27" s="2" t="s">
        <v>69</v>
      </c>
      <c r="B27" s="2" t="s">
        <v>1205</v>
      </c>
      <c r="C27" s="8">
        <v>7743.03</v>
      </c>
      <c r="D27" s="8">
        <v>0.065</v>
      </c>
      <c r="E27" s="2">
        <f t="shared" si="1"/>
        <v>503.3</v>
      </c>
      <c r="F27" s="2" t="s">
        <v>1206</v>
      </c>
      <c r="G27" s="2">
        <f t="shared" si="2"/>
        <v>503.3</v>
      </c>
      <c r="H27" s="2" t="str">
        <f t="shared" si="3"/>
        <v>OK</v>
      </c>
      <c r="I27" s="2">
        <f t="array" ref="I27">IFERROR(XLOOKUP(XLOOKUP(A27, AP_Subledger!A:A, AP_Subledger!H:H), Tax_Rates_Reference!A:A, Tax_Rates_Reference!C:C), "")
</f>
        <v>0.065</v>
      </c>
      <c r="J27" s="2" t="b">
        <f t="shared" si="4"/>
        <v>1</v>
      </c>
    </row>
    <row r="28">
      <c r="A28" s="2" t="s">
        <v>70</v>
      </c>
      <c r="B28" s="2" t="s">
        <v>1205</v>
      </c>
      <c r="C28" s="8">
        <v>10704.49</v>
      </c>
      <c r="D28" s="8">
        <v>0.065</v>
      </c>
      <c r="E28" s="2">
        <f t="shared" si="1"/>
        <v>695.79</v>
      </c>
      <c r="F28" s="2" t="s">
        <v>1206</v>
      </c>
      <c r="G28" s="2">
        <f t="shared" si="2"/>
        <v>695.79</v>
      </c>
      <c r="H28" s="2" t="str">
        <f t="shared" si="3"/>
        <v>OK</v>
      </c>
      <c r="I28" s="2">
        <f t="array" ref="I28">IFERROR(XLOOKUP(XLOOKUP(A28, AP_Subledger!A:A, AP_Subledger!H:H), Tax_Rates_Reference!A:A, Tax_Rates_Reference!C:C), "")
</f>
        <v>0.065</v>
      </c>
      <c r="J28" s="2" t="b">
        <f t="shared" si="4"/>
        <v>1</v>
      </c>
    </row>
    <row r="29">
      <c r="A29" s="2" t="s">
        <v>71</v>
      </c>
      <c r="B29" s="2" t="s">
        <v>1205</v>
      </c>
      <c r="C29" s="8">
        <v>22454.24</v>
      </c>
      <c r="D29" s="8">
        <v>0.07</v>
      </c>
      <c r="E29" s="2">
        <f t="shared" si="1"/>
        <v>3143.59</v>
      </c>
      <c r="F29" s="2" t="s">
        <v>1206</v>
      </c>
      <c r="G29" s="2">
        <f t="shared" si="2"/>
        <v>1571.8</v>
      </c>
      <c r="H29" s="2" t="str">
        <f t="shared" si="3"/>
        <v>Mismatch</v>
      </c>
      <c r="I29" s="2">
        <f t="array" ref="I29">IFERROR(XLOOKUP(XLOOKUP(A29, AP_Subledger!A:A, AP_Subledger!H:H), Tax_Rates_Reference!A:A, Tax_Rates_Reference!C:C), "")
</f>
        <v>0.07</v>
      </c>
      <c r="J29" s="2" t="b">
        <f t="shared" si="4"/>
        <v>1</v>
      </c>
    </row>
    <row r="30">
      <c r="A30" s="2" t="s">
        <v>72</v>
      </c>
      <c r="B30" s="2" t="s">
        <v>1205</v>
      </c>
      <c r="C30" s="8">
        <v>20541.36</v>
      </c>
      <c r="D30" s="8">
        <v>0.06</v>
      </c>
      <c r="E30" s="2">
        <f t="shared" si="1"/>
        <v>1232.48</v>
      </c>
      <c r="F30" s="2" t="s">
        <v>1206</v>
      </c>
      <c r="G30" s="2">
        <f t="shared" si="2"/>
        <v>1232.48</v>
      </c>
      <c r="H30" s="2" t="str">
        <f t="shared" si="3"/>
        <v>OK</v>
      </c>
      <c r="I30" s="2">
        <f t="array" ref="I30">IFERROR(XLOOKUP(XLOOKUP(A30, AP_Subledger!A:A, AP_Subledger!H:H), Tax_Rates_Reference!A:A, Tax_Rates_Reference!C:C), "")
</f>
        <v>0.06</v>
      </c>
      <c r="J30" s="2" t="b">
        <f t="shared" si="4"/>
        <v>1</v>
      </c>
    </row>
    <row r="31">
      <c r="A31" s="2" t="s">
        <v>73</v>
      </c>
      <c r="B31" s="2" t="s">
        <v>1205</v>
      </c>
      <c r="C31" s="8">
        <v>13585.19</v>
      </c>
      <c r="D31" s="8">
        <v>0.07</v>
      </c>
      <c r="E31" s="2">
        <f t="shared" si="1"/>
        <v>950.96</v>
      </c>
      <c r="F31" s="2" t="s">
        <v>1206</v>
      </c>
      <c r="G31" s="2">
        <f t="shared" si="2"/>
        <v>950.96</v>
      </c>
      <c r="H31" s="2" t="str">
        <f t="shared" si="3"/>
        <v>OK</v>
      </c>
      <c r="I31" s="2">
        <f t="array" ref="I31">IFERROR(XLOOKUP(XLOOKUP(A31, AP_Subledger!A:A, AP_Subledger!H:H), Tax_Rates_Reference!A:A, Tax_Rates_Reference!C:C), "")
</f>
        <v>0.07</v>
      </c>
      <c r="J31" s="2" t="b">
        <f t="shared" si="4"/>
        <v>1</v>
      </c>
    </row>
    <row r="32">
      <c r="A32" s="2" t="s">
        <v>74</v>
      </c>
      <c r="B32" s="2" t="s">
        <v>1205</v>
      </c>
      <c r="C32" s="8">
        <v>23601.29</v>
      </c>
      <c r="D32" s="8">
        <v>0.075</v>
      </c>
      <c r="E32" s="2">
        <f t="shared" si="1"/>
        <v>1770.1</v>
      </c>
      <c r="F32" s="2" t="s">
        <v>1206</v>
      </c>
      <c r="G32" s="2">
        <f t="shared" si="2"/>
        <v>1770.1</v>
      </c>
      <c r="H32" s="2" t="str">
        <f t="shared" si="3"/>
        <v>OK</v>
      </c>
      <c r="I32" s="2">
        <f t="array" ref="I32">IFERROR(XLOOKUP(XLOOKUP(A32, AP_Subledger!A:A, AP_Subledger!H:H), Tax_Rates_Reference!A:A, Tax_Rates_Reference!C:C), "")
</f>
        <v>0.075</v>
      </c>
      <c r="J32" s="2" t="b">
        <f t="shared" si="4"/>
        <v>1</v>
      </c>
    </row>
    <row r="33">
      <c r="A33" s="2" t="s">
        <v>75</v>
      </c>
      <c r="B33" s="2" t="s">
        <v>1205</v>
      </c>
      <c r="C33" s="8">
        <v>6720.93</v>
      </c>
      <c r="D33" s="8">
        <v>0.07</v>
      </c>
      <c r="E33" s="2">
        <f t="shared" si="1"/>
        <v>403.26</v>
      </c>
      <c r="F33" s="2" t="s">
        <v>1206</v>
      </c>
      <c r="G33" s="2">
        <f t="shared" si="2"/>
        <v>470.47</v>
      </c>
      <c r="H33" s="2" t="str">
        <f t="shared" si="3"/>
        <v>Mismatch</v>
      </c>
      <c r="I33" s="2">
        <f t="array" ref="I33">IFERROR(XLOOKUP(XLOOKUP(A33, AP_Subledger!A:A, AP_Subledger!H:H), Tax_Rates_Reference!A:A, Tax_Rates_Reference!C:C), "")
</f>
        <v>0.07</v>
      </c>
      <c r="J33" s="2" t="b">
        <f t="shared" si="4"/>
        <v>1</v>
      </c>
    </row>
    <row r="34">
      <c r="A34" s="2" t="s">
        <v>76</v>
      </c>
      <c r="B34" s="2" t="s">
        <v>1205</v>
      </c>
      <c r="C34" s="8">
        <v>24944.64</v>
      </c>
      <c r="D34" s="8">
        <v>0.065</v>
      </c>
      <c r="E34" s="2">
        <f t="shared" si="1"/>
        <v>1621.4</v>
      </c>
      <c r="F34" s="2" t="s">
        <v>1206</v>
      </c>
      <c r="G34" s="2">
        <f t="shared" si="2"/>
        <v>1621.4</v>
      </c>
      <c r="H34" s="2" t="str">
        <f t="shared" si="3"/>
        <v>OK</v>
      </c>
      <c r="I34" s="2">
        <f t="array" ref="I34">IFERROR(XLOOKUP(XLOOKUP(A34, AP_Subledger!A:A, AP_Subledger!H:H), Tax_Rates_Reference!A:A, Tax_Rates_Reference!C:C), "")
</f>
        <v>0.065</v>
      </c>
      <c r="J34" s="2" t="b">
        <f t="shared" si="4"/>
        <v>1</v>
      </c>
    </row>
    <row r="35">
      <c r="A35" s="2" t="s">
        <v>77</v>
      </c>
      <c r="B35" s="2" t="s">
        <v>1205</v>
      </c>
      <c r="C35" s="8">
        <v>1309.74</v>
      </c>
      <c r="D35" s="8">
        <v>0.065</v>
      </c>
      <c r="E35" s="2">
        <f t="shared" si="1"/>
        <v>0</v>
      </c>
      <c r="F35" s="2" t="s">
        <v>1206</v>
      </c>
      <c r="G35" s="2">
        <f t="shared" si="2"/>
        <v>85.13</v>
      </c>
      <c r="H35" s="2" t="str">
        <f t="shared" si="3"/>
        <v>Mismatch</v>
      </c>
      <c r="I35" s="2">
        <f t="array" ref="I35">IFERROR(XLOOKUP(XLOOKUP(A35, AP_Subledger!A:A, AP_Subledger!H:H), Tax_Rates_Reference!A:A, Tax_Rates_Reference!C:C), "")
</f>
        <v>0.065</v>
      </c>
      <c r="J35" s="2" t="b">
        <f t="shared" si="4"/>
        <v>1</v>
      </c>
    </row>
    <row r="36">
      <c r="A36" s="2" t="s">
        <v>78</v>
      </c>
      <c r="B36" s="2" t="s">
        <v>1205</v>
      </c>
      <c r="C36" s="8">
        <v>12491.59</v>
      </c>
      <c r="D36" s="8">
        <v>0.075</v>
      </c>
      <c r="E36" s="2">
        <f t="shared" si="1"/>
        <v>936.87</v>
      </c>
      <c r="F36" s="2" t="s">
        <v>1206</v>
      </c>
      <c r="G36" s="2">
        <f t="shared" si="2"/>
        <v>936.87</v>
      </c>
      <c r="H36" s="2" t="str">
        <f t="shared" si="3"/>
        <v>OK</v>
      </c>
      <c r="I36" s="2">
        <f t="array" ref="I36">IFERROR(XLOOKUP(XLOOKUP(A36, AP_Subledger!A:A, AP_Subledger!H:H), Tax_Rates_Reference!A:A, Tax_Rates_Reference!C:C), "")
</f>
        <v>0.075</v>
      </c>
      <c r="J36" s="2" t="b">
        <f t="shared" si="4"/>
        <v>1</v>
      </c>
    </row>
    <row r="37">
      <c r="A37" s="2" t="s">
        <v>79</v>
      </c>
      <c r="B37" s="2" t="s">
        <v>1205</v>
      </c>
      <c r="C37" s="8">
        <v>19159.68</v>
      </c>
      <c r="D37" s="8">
        <v>0.075</v>
      </c>
      <c r="E37" s="2">
        <f t="shared" si="1"/>
        <v>1436.98</v>
      </c>
      <c r="F37" s="2" t="s">
        <v>1206</v>
      </c>
      <c r="G37" s="2">
        <f t="shared" si="2"/>
        <v>1436.98</v>
      </c>
      <c r="H37" s="2" t="str">
        <f t="shared" si="3"/>
        <v>OK</v>
      </c>
      <c r="I37" s="2">
        <f t="array" ref="I37">IFERROR(XLOOKUP(XLOOKUP(A37, AP_Subledger!A:A, AP_Subledger!H:H), Tax_Rates_Reference!A:A, Tax_Rates_Reference!C:C), "")
</f>
        <v>0.075</v>
      </c>
      <c r="J37" s="2" t="b">
        <f t="shared" si="4"/>
        <v>1</v>
      </c>
    </row>
    <row r="38">
      <c r="A38" s="2" t="s">
        <v>80</v>
      </c>
      <c r="B38" s="2" t="s">
        <v>1205</v>
      </c>
      <c r="C38" s="8">
        <v>24593.87</v>
      </c>
      <c r="D38" s="8">
        <v>0.075</v>
      </c>
      <c r="E38" s="2">
        <f t="shared" si="1"/>
        <v>1844.54</v>
      </c>
      <c r="F38" s="2" t="s">
        <v>1206</v>
      </c>
      <c r="G38" s="2">
        <f t="shared" si="2"/>
        <v>1844.54</v>
      </c>
      <c r="H38" s="2" t="str">
        <f t="shared" si="3"/>
        <v>OK</v>
      </c>
      <c r="I38" s="2">
        <f t="array" ref="I38">IFERROR(XLOOKUP(XLOOKUP(A38, AP_Subledger!A:A, AP_Subledger!H:H), Tax_Rates_Reference!A:A, Tax_Rates_Reference!C:C), "")
</f>
        <v>0.075</v>
      </c>
      <c r="J38" s="2" t="b">
        <f t="shared" si="4"/>
        <v>1</v>
      </c>
    </row>
    <row r="39">
      <c r="A39" s="2" t="s">
        <v>81</v>
      </c>
      <c r="B39" s="2" t="s">
        <v>1205</v>
      </c>
      <c r="C39" s="8">
        <v>12950.87</v>
      </c>
      <c r="D39" s="8">
        <v>0.075</v>
      </c>
      <c r="E39" s="2">
        <f t="shared" si="1"/>
        <v>971.32</v>
      </c>
      <c r="F39" s="2" t="s">
        <v>1206</v>
      </c>
      <c r="G39" s="2">
        <f t="shared" si="2"/>
        <v>971.32</v>
      </c>
      <c r="H39" s="2" t="str">
        <f t="shared" si="3"/>
        <v>OK</v>
      </c>
      <c r="I39" s="2">
        <f t="array" ref="I39">IFERROR(XLOOKUP(XLOOKUP(A39, AP_Subledger!A:A, AP_Subledger!H:H), Tax_Rates_Reference!A:A, Tax_Rates_Reference!C:C), "")
</f>
        <v>0.075</v>
      </c>
      <c r="J39" s="2" t="b">
        <f t="shared" si="4"/>
        <v>1</v>
      </c>
    </row>
    <row r="40">
      <c r="A40" s="2" t="s">
        <v>82</v>
      </c>
      <c r="B40" s="2" t="s">
        <v>1205</v>
      </c>
      <c r="C40" s="8">
        <v>5895.91</v>
      </c>
      <c r="D40" s="8">
        <v>0.065</v>
      </c>
      <c r="E40" s="2">
        <f t="shared" si="1"/>
        <v>383.23</v>
      </c>
      <c r="F40" s="2" t="s">
        <v>1206</v>
      </c>
      <c r="G40" s="2">
        <f t="shared" si="2"/>
        <v>383.23</v>
      </c>
      <c r="H40" s="2" t="str">
        <f t="shared" si="3"/>
        <v>OK</v>
      </c>
      <c r="I40" s="2">
        <f t="array" ref="I40">IFERROR(XLOOKUP(XLOOKUP(A40, AP_Subledger!A:A, AP_Subledger!H:H), Tax_Rates_Reference!A:A, Tax_Rates_Reference!C:C), "")
</f>
        <v>0.065</v>
      </c>
      <c r="J40" s="2" t="b">
        <f t="shared" si="4"/>
        <v>1</v>
      </c>
    </row>
    <row r="41">
      <c r="A41" s="2" t="s">
        <v>83</v>
      </c>
      <c r="B41" s="2" t="s">
        <v>1205</v>
      </c>
      <c r="C41" s="8">
        <v>4771.98</v>
      </c>
      <c r="D41" s="8">
        <v>0.06</v>
      </c>
      <c r="E41" s="2">
        <f t="shared" si="1"/>
        <v>286.32</v>
      </c>
      <c r="F41" s="2" t="s">
        <v>1206</v>
      </c>
      <c r="G41" s="2">
        <f t="shared" si="2"/>
        <v>286.32</v>
      </c>
      <c r="H41" s="2" t="str">
        <f t="shared" si="3"/>
        <v>OK</v>
      </c>
      <c r="I41" s="2">
        <f t="array" ref="I41">IFERROR(XLOOKUP(XLOOKUP(A41, AP_Subledger!A:A, AP_Subledger!H:H), Tax_Rates_Reference!A:A, Tax_Rates_Reference!C:C), "")
</f>
        <v>0.06</v>
      </c>
      <c r="J41" s="2" t="b">
        <f t="shared" si="4"/>
        <v>1</v>
      </c>
    </row>
    <row r="42">
      <c r="A42" s="2" t="s">
        <v>84</v>
      </c>
      <c r="B42" s="2" t="s">
        <v>1205</v>
      </c>
      <c r="C42" s="8">
        <v>17054.41</v>
      </c>
      <c r="D42" s="8">
        <v>0.075</v>
      </c>
      <c r="E42" s="2">
        <f t="shared" si="1"/>
        <v>1279.08</v>
      </c>
      <c r="F42" s="2" t="s">
        <v>1206</v>
      </c>
      <c r="G42" s="2">
        <f t="shared" si="2"/>
        <v>1279.08</v>
      </c>
      <c r="H42" s="2" t="str">
        <f t="shared" si="3"/>
        <v>OK</v>
      </c>
      <c r="I42" s="2">
        <f t="array" ref="I42">IFERROR(XLOOKUP(XLOOKUP(A42, AP_Subledger!A:A, AP_Subledger!H:H), Tax_Rates_Reference!A:A, Tax_Rates_Reference!C:C), "")
</f>
        <v>0.075</v>
      </c>
      <c r="J42" s="2" t="b">
        <f t="shared" si="4"/>
        <v>1</v>
      </c>
    </row>
    <row r="43">
      <c r="A43" s="2" t="s">
        <v>85</v>
      </c>
      <c r="B43" s="2" t="s">
        <v>1205</v>
      </c>
      <c r="C43" s="8">
        <v>17546.72</v>
      </c>
      <c r="D43" s="8">
        <v>0.06</v>
      </c>
      <c r="E43" s="2">
        <f t="shared" si="1"/>
        <v>1052.8</v>
      </c>
      <c r="F43" s="2" t="s">
        <v>1206</v>
      </c>
      <c r="G43" s="2">
        <f t="shared" si="2"/>
        <v>1052.8</v>
      </c>
      <c r="H43" s="2" t="str">
        <f t="shared" si="3"/>
        <v>OK</v>
      </c>
      <c r="I43" s="2">
        <f t="array" ref="I43">IFERROR(XLOOKUP(XLOOKUP(A43, AP_Subledger!A:A, AP_Subledger!H:H), Tax_Rates_Reference!A:A, Tax_Rates_Reference!C:C), "")
</f>
        <v>0.06</v>
      </c>
      <c r="J43" s="2" t="b">
        <f t="shared" si="4"/>
        <v>1</v>
      </c>
    </row>
    <row r="44">
      <c r="A44" s="2" t="s">
        <v>86</v>
      </c>
      <c r="B44" s="2" t="s">
        <v>1205</v>
      </c>
      <c r="C44" s="8">
        <v>13157.58</v>
      </c>
      <c r="D44" s="8">
        <v>0.06</v>
      </c>
      <c r="E44" s="2">
        <f t="shared" si="1"/>
        <v>789.45</v>
      </c>
      <c r="F44" s="2" t="s">
        <v>1206</v>
      </c>
      <c r="G44" s="2">
        <f t="shared" si="2"/>
        <v>789.45</v>
      </c>
      <c r="H44" s="2" t="str">
        <f t="shared" si="3"/>
        <v>OK</v>
      </c>
      <c r="I44" s="2">
        <f t="array" ref="I44">IFERROR(XLOOKUP(XLOOKUP(A44, AP_Subledger!A:A, AP_Subledger!H:H), Tax_Rates_Reference!A:A, Tax_Rates_Reference!C:C), "")
</f>
        <v>0.06</v>
      </c>
      <c r="J44" s="2" t="b">
        <f t="shared" si="4"/>
        <v>1</v>
      </c>
    </row>
    <row r="45">
      <c r="A45" s="2" t="s">
        <v>87</v>
      </c>
      <c r="B45" s="2" t="s">
        <v>1205</v>
      </c>
      <c r="C45" s="8">
        <v>14178.19</v>
      </c>
      <c r="D45" s="8">
        <v>0.07</v>
      </c>
      <c r="E45" s="2">
        <f t="shared" si="1"/>
        <v>992.47</v>
      </c>
      <c r="F45" s="2" t="s">
        <v>1206</v>
      </c>
      <c r="G45" s="2">
        <f t="shared" si="2"/>
        <v>992.47</v>
      </c>
      <c r="H45" s="2" t="str">
        <f t="shared" si="3"/>
        <v>OK</v>
      </c>
      <c r="I45" s="2">
        <f t="array" ref="I45">IFERROR(XLOOKUP(XLOOKUP(A45, AP_Subledger!A:A, AP_Subledger!H:H), Tax_Rates_Reference!A:A, Tax_Rates_Reference!C:C), "")
</f>
        <v>0.07</v>
      </c>
      <c r="J45" s="2" t="b">
        <f t="shared" si="4"/>
        <v>1</v>
      </c>
    </row>
    <row r="46">
      <c r="A46" s="2" t="s">
        <v>88</v>
      </c>
      <c r="B46" s="2" t="s">
        <v>1205</v>
      </c>
      <c r="C46" s="8">
        <v>17658.77</v>
      </c>
      <c r="D46" s="8">
        <v>0.07</v>
      </c>
      <c r="E46" s="2">
        <f t="shared" si="1"/>
        <v>1236.11</v>
      </c>
      <c r="F46" s="2" t="s">
        <v>1206</v>
      </c>
      <c r="G46" s="2">
        <f t="shared" si="2"/>
        <v>1236.11</v>
      </c>
      <c r="H46" s="2" t="str">
        <f t="shared" si="3"/>
        <v>OK</v>
      </c>
      <c r="I46" s="2">
        <f t="array" ref="I46">IFERROR(XLOOKUP(XLOOKUP(A46, AP_Subledger!A:A, AP_Subledger!H:H), Tax_Rates_Reference!A:A, Tax_Rates_Reference!C:C), "")
</f>
        <v>0.07</v>
      </c>
      <c r="J46" s="2" t="b">
        <f t="shared" si="4"/>
        <v>1</v>
      </c>
    </row>
    <row r="47">
      <c r="A47" s="2" t="s">
        <v>89</v>
      </c>
      <c r="B47" s="2" t="s">
        <v>1205</v>
      </c>
      <c r="C47" s="8">
        <v>22250.37</v>
      </c>
      <c r="D47" s="8">
        <v>0.06</v>
      </c>
      <c r="E47" s="2">
        <f t="shared" si="1"/>
        <v>1335.02</v>
      </c>
      <c r="F47" s="2" t="s">
        <v>1206</v>
      </c>
      <c r="G47" s="2">
        <f t="shared" si="2"/>
        <v>1335.02</v>
      </c>
      <c r="H47" s="2" t="str">
        <f t="shared" si="3"/>
        <v>OK</v>
      </c>
      <c r="I47" s="2">
        <f t="array" ref="I47">IFERROR(XLOOKUP(XLOOKUP(A47, AP_Subledger!A:A, AP_Subledger!H:H), Tax_Rates_Reference!A:A, Tax_Rates_Reference!C:C), "")
</f>
        <v>0.06</v>
      </c>
      <c r="J47" s="2" t="b">
        <f t="shared" si="4"/>
        <v>1</v>
      </c>
    </row>
    <row r="48">
      <c r="A48" s="2" t="s">
        <v>91</v>
      </c>
      <c r="B48" s="2" t="s">
        <v>1205</v>
      </c>
      <c r="C48" s="8">
        <v>22514.58</v>
      </c>
      <c r="D48" s="8">
        <v>0.075</v>
      </c>
      <c r="E48" s="2">
        <f t="shared" si="1"/>
        <v>1688.59</v>
      </c>
      <c r="F48" s="2" t="s">
        <v>1206</v>
      </c>
      <c r="G48" s="2">
        <f t="shared" si="2"/>
        <v>1688.59</v>
      </c>
      <c r="H48" s="2" t="str">
        <f t="shared" si="3"/>
        <v>OK</v>
      </c>
      <c r="I48" s="2">
        <f t="array" ref="I48">IFERROR(XLOOKUP(XLOOKUP(A48, AP_Subledger!A:A, AP_Subledger!H:H), Tax_Rates_Reference!A:A, Tax_Rates_Reference!C:C), "")
</f>
        <v>0.075</v>
      </c>
      <c r="J48" s="2" t="b">
        <f t="shared" si="4"/>
        <v>1</v>
      </c>
    </row>
    <row r="49">
      <c r="A49" s="2" t="s">
        <v>92</v>
      </c>
      <c r="B49" s="2" t="s">
        <v>1205</v>
      </c>
      <c r="C49" s="8">
        <v>7981.41</v>
      </c>
      <c r="D49" s="8">
        <v>0.06</v>
      </c>
      <c r="E49" s="2">
        <f t="shared" si="1"/>
        <v>478.88</v>
      </c>
      <c r="F49" s="2" t="s">
        <v>1206</v>
      </c>
      <c r="G49" s="2">
        <f t="shared" si="2"/>
        <v>478.88</v>
      </c>
      <c r="H49" s="2" t="str">
        <f t="shared" si="3"/>
        <v>OK</v>
      </c>
      <c r="I49" s="2">
        <f t="array" ref="I49">IFERROR(XLOOKUP(XLOOKUP(A49, AP_Subledger!A:A, AP_Subledger!H:H), Tax_Rates_Reference!A:A, Tax_Rates_Reference!C:C), "")
</f>
        <v>0.06</v>
      </c>
      <c r="J49" s="2" t="b">
        <f t="shared" si="4"/>
        <v>1</v>
      </c>
    </row>
    <row r="50">
      <c r="A50" s="2" t="s">
        <v>93</v>
      </c>
      <c r="B50" s="2" t="s">
        <v>1205</v>
      </c>
      <c r="C50" s="8">
        <v>4810.17</v>
      </c>
      <c r="D50" s="8">
        <v>0.08</v>
      </c>
      <c r="E50" s="2">
        <f t="shared" si="1"/>
        <v>384.81</v>
      </c>
      <c r="F50" s="2" t="s">
        <v>1206</v>
      </c>
      <c r="G50" s="2">
        <f t="shared" si="2"/>
        <v>384.81</v>
      </c>
      <c r="H50" s="2" t="str">
        <f t="shared" si="3"/>
        <v>OK</v>
      </c>
      <c r="I50" s="2">
        <f t="array" ref="I50">IFERROR(XLOOKUP(XLOOKUP(A50, AP_Subledger!A:A, AP_Subledger!H:H), Tax_Rates_Reference!A:A, Tax_Rates_Reference!C:C), "")
</f>
        <v>0.06</v>
      </c>
      <c r="J50" s="2" t="b">
        <f t="shared" si="4"/>
        <v>0</v>
      </c>
    </row>
    <row r="51">
      <c r="A51" s="2" t="s">
        <v>94</v>
      </c>
      <c r="B51" s="2" t="s">
        <v>1205</v>
      </c>
      <c r="C51" s="8">
        <v>9478.49</v>
      </c>
      <c r="D51" s="8">
        <v>0.065</v>
      </c>
      <c r="E51" s="2">
        <f t="shared" si="1"/>
        <v>616.1</v>
      </c>
      <c r="F51" s="2" t="s">
        <v>1206</v>
      </c>
      <c r="G51" s="2">
        <f t="shared" si="2"/>
        <v>616.1</v>
      </c>
      <c r="H51" s="2" t="str">
        <f t="shared" si="3"/>
        <v>OK</v>
      </c>
      <c r="I51" s="2">
        <f t="array" ref="I51">IFERROR(XLOOKUP(XLOOKUP(A51, AP_Subledger!A:A, AP_Subledger!H:H), Tax_Rates_Reference!A:A, Tax_Rates_Reference!C:C), "")
</f>
        <v>0.065</v>
      </c>
      <c r="J51" s="2" t="b">
        <f t="shared" si="4"/>
        <v>1</v>
      </c>
    </row>
    <row r="52">
      <c r="A52" s="2" t="s">
        <v>95</v>
      </c>
      <c r="B52" s="2" t="s">
        <v>1205</v>
      </c>
      <c r="C52" s="8">
        <v>2795.03</v>
      </c>
      <c r="D52" s="8">
        <v>0.065</v>
      </c>
      <c r="E52" s="2">
        <f t="shared" si="1"/>
        <v>181.68</v>
      </c>
      <c r="F52" s="2" t="s">
        <v>1206</v>
      </c>
      <c r="G52" s="2">
        <f t="shared" si="2"/>
        <v>181.68</v>
      </c>
      <c r="H52" s="2" t="str">
        <f t="shared" si="3"/>
        <v>OK</v>
      </c>
      <c r="I52" s="2">
        <f t="array" ref="I52">IFERROR(XLOOKUP(XLOOKUP(A52, AP_Subledger!A:A, AP_Subledger!H:H), Tax_Rates_Reference!A:A, Tax_Rates_Reference!C:C), "")
</f>
        <v>0.065</v>
      </c>
      <c r="J52" s="2" t="b">
        <f t="shared" si="4"/>
        <v>1</v>
      </c>
    </row>
    <row r="53">
      <c r="A53" s="2" t="s">
        <v>96</v>
      </c>
      <c r="B53" s="2" t="s">
        <v>1205</v>
      </c>
      <c r="C53" s="8">
        <v>24482.88</v>
      </c>
      <c r="D53" s="8">
        <v>0.065</v>
      </c>
      <c r="E53" s="2">
        <f t="shared" si="1"/>
        <v>1591.39</v>
      </c>
      <c r="F53" s="2" t="s">
        <v>1206</v>
      </c>
      <c r="G53" s="2">
        <f t="shared" si="2"/>
        <v>1591.39</v>
      </c>
      <c r="H53" s="2" t="str">
        <f t="shared" si="3"/>
        <v>OK</v>
      </c>
      <c r="I53" s="2">
        <f t="array" ref="I53">IFERROR(XLOOKUP(XLOOKUP(A53, AP_Subledger!A:A, AP_Subledger!H:H), Tax_Rates_Reference!A:A, Tax_Rates_Reference!C:C), "")
</f>
        <v>0.065</v>
      </c>
      <c r="J53" s="2" t="b">
        <f t="shared" si="4"/>
        <v>1</v>
      </c>
    </row>
    <row r="54">
      <c r="A54" s="2" t="s">
        <v>97</v>
      </c>
      <c r="B54" s="2" t="s">
        <v>1205</v>
      </c>
      <c r="C54" s="8">
        <v>9076.92</v>
      </c>
      <c r="D54" s="8">
        <v>0.07</v>
      </c>
      <c r="E54" s="2">
        <f t="shared" si="1"/>
        <v>635.38</v>
      </c>
      <c r="F54" s="2" t="s">
        <v>1206</v>
      </c>
      <c r="G54" s="2">
        <f t="shared" si="2"/>
        <v>635.38</v>
      </c>
      <c r="H54" s="2" t="str">
        <f t="shared" si="3"/>
        <v>OK</v>
      </c>
      <c r="I54" s="2">
        <f t="array" ref="I54">IFERROR(XLOOKUP(XLOOKUP(A54, AP_Subledger!A:A, AP_Subledger!H:H), Tax_Rates_Reference!A:A, Tax_Rates_Reference!C:C), "")
</f>
        <v>0.07</v>
      </c>
      <c r="J54" s="2" t="b">
        <f t="shared" si="4"/>
        <v>1</v>
      </c>
    </row>
    <row r="55">
      <c r="A55" s="2" t="s">
        <v>98</v>
      </c>
      <c r="B55" s="2" t="s">
        <v>1205</v>
      </c>
      <c r="C55" s="8">
        <v>14514.1</v>
      </c>
      <c r="D55" s="8">
        <v>0.075</v>
      </c>
      <c r="E55" s="2">
        <f t="shared" si="1"/>
        <v>1088.56</v>
      </c>
      <c r="F55" s="2" t="s">
        <v>1206</v>
      </c>
      <c r="G55" s="2">
        <f t="shared" si="2"/>
        <v>1088.56</v>
      </c>
      <c r="H55" s="2" t="str">
        <f t="shared" si="3"/>
        <v>OK</v>
      </c>
      <c r="I55" s="2">
        <f t="array" ref="I55">IFERROR(XLOOKUP(XLOOKUP(A55, AP_Subledger!A:A, AP_Subledger!H:H), Tax_Rates_Reference!A:A, Tax_Rates_Reference!C:C), "")
</f>
        <v>0.075</v>
      </c>
      <c r="J55" s="2" t="b">
        <f t="shared" si="4"/>
        <v>1</v>
      </c>
    </row>
    <row r="56">
      <c r="A56" s="2" t="s">
        <v>99</v>
      </c>
      <c r="B56" s="2" t="s">
        <v>1205</v>
      </c>
      <c r="C56" s="8">
        <v>23871.25</v>
      </c>
      <c r="D56" s="8">
        <v>0.07</v>
      </c>
      <c r="E56" s="2">
        <f t="shared" si="1"/>
        <v>1670.99</v>
      </c>
      <c r="F56" s="2" t="s">
        <v>1206</v>
      </c>
      <c r="G56" s="2">
        <f t="shared" si="2"/>
        <v>1670.99</v>
      </c>
      <c r="H56" s="2" t="str">
        <f t="shared" si="3"/>
        <v>OK</v>
      </c>
      <c r="I56" s="2">
        <f t="array" ref="I56">IFERROR(XLOOKUP(XLOOKUP(A56, AP_Subledger!A:A, AP_Subledger!H:H), Tax_Rates_Reference!A:A, Tax_Rates_Reference!C:C), "")
</f>
        <v>0.07</v>
      </c>
      <c r="J56" s="2" t="b">
        <f t="shared" si="4"/>
        <v>1</v>
      </c>
    </row>
    <row r="57">
      <c r="A57" s="2" t="s">
        <v>100</v>
      </c>
      <c r="B57" s="2" t="s">
        <v>1205</v>
      </c>
      <c r="C57" s="8">
        <v>23850.26</v>
      </c>
      <c r="D57" s="8">
        <v>0.06</v>
      </c>
      <c r="E57" s="2">
        <f t="shared" si="1"/>
        <v>1431.02</v>
      </c>
      <c r="F57" s="2" t="s">
        <v>1206</v>
      </c>
      <c r="G57" s="2">
        <f t="shared" si="2"/>
        <v>1431.02</v>
      </c>
      <c r="H57" s="2" t="str">
        <f t="shared" si="3"/>
        <v>OK</v>
      </c>
      <c r="I57" s="2">
        <f t="array" ref="I57">IFERROR(XLOOKUP(XLOOKUP(A57, AP_Subledger!A:A, AP_Subledger!H:H), Tax_Rates_Reference!A:A, Tax_Rates_Reference!C:C), "")
</f>
        <v>0.06</v>
      </c>
      <c r="J57" s="2" t="b">
        <f t="shared" si="4"/>
        <v>1</v>
      </c>
    </row>
    <row r="58">
      <c r="A58" s="2" t="s">
        <v>101</v>
      </c>
      <c r="B58" s="2" t="s">
        <v>1205</v>
      </c>
      <c r="C58" s="8">
        <v>24518.12</v>
      </c>
      <c r="D58" s="8">
        <v>0.065</v>
      </c>
      <c r="E58" s="2">
        <f t="shared" si="1"/>
        <v>1593.68</v>
      </c>
      <c r="F58" s="2" t="s">
        <v>1206</v>
      </c>
      <c r="G58" s="2">
        <f t="shared" si="2"/>
        <v>1593.68</v>
      </c>
      <c r="H58" s="2" t="str">
        <f t="shared" si="3"/>
        <v>OK</v>
      </c>
      <c r="I58" s="2">
        <f t="array" ref="I58">IFERROR(XLOOKUP(XLOOKUP(A58, AP_Subledger!A:A, AP_Subledger!H:H), Tax_Rates_Reference!A:A, Tax_Rates_Reference!C:C), "")
</f>
        <v>0.065</v>
      </c>
      <c r="J58" s="2" t="b">
        <f t="shared" si="4"/>
        <v>1</v>
      </c>
    </row>
    <row r="59">
      <c r="A59" s="2" t="s">
        <v>102</v>
      </c>
      <c r="B59" s="2" t="s">
        <v>1205</v>
      </c>
      <c r="C59" s="8">
        <v>4652.57</v>
      </c>
      <c r="D59" s="8">
        <v>0.065</v>
      </c>
      <c r="E59" s="2">
        <f t="shared" si="1"/>
        <v>302.42</v>
      </c>
      <c r="F59" s="2" t="s">
        <v>1206</v>
      </c>
      <c r="G59" s="2">
        <f t="shared" si="2"/>
        <v>302.42</v>
      </c>
      <c r="H59" s="2" t="str">
        <f t="shared" si="3"/>
        <v>OK</v>
      </c>
      <c r="I59" s="2">
        <f t="array" ref="I59">IFERROR(XLOOKUP(XLOOKUP(A59, AP_Subledger!A:A, AP_Subledger!H:H), Tax_Rates_Reference!A:A, Tax_Rates_Reference!C:C), "")
</f>
        <v>0.065</v>
      </c>
      <c r="J59" s="2" t="b">
        <f t="shared" si="4"/>
        <v>1</v>
      </c>
    </row>
    <row r="60">
      <c r="A60" s="2" t="s">
        <v>103</v>
      </c>
      <c r="B60" s="2" t="s">
        <v>1205</v>
      </c>
      <c r="C60" s="8">
        <v>2225.2</v>
      </c>
      <c r="D60" s="8">
        <v>0.06</v>
      </c>
      <c r="E60" s="2">
        <f t="shared" si="1"/>
        <v>133.51</v>
      </c>
      <c r="F60" s="2" t="s">
        <v>1206</v>
      </c>
      <c r="G60" s="2">
        <f t="shared" si="2"/>
        <v>133.51</v>
      </c>
      <c r="H60" s="2" t="str">
        <f t="shared" si="3"/>
        <v>OK</v>
      </c>
      <c r="I60" s="2">
        <f t="array" ref="I60">IFERROR(XLOOKUP(XLOOKUP(A60, AP_Subledger!A:A, AP_Subledger!H:H), Tax_Rates_Reference!A:A, Tax_Rates_Reference!C:C), "")
</f>
        <v>0.06</v>
      </c>
      <c r="J60" s="2" t="b">
        <f t="shared" si="4"/>
        <v>1</v>
      </c>
    </row>
    <row r="61">
      <c r="A61" s="2" t="s">
        <v>104</v>
      </c>
      <c r="B61" s="2" t="s">
        <v>1205</v>
      </c>
      <c r="C61" s="8">
        <v>6727.01</v>
      </c>
      <c r="D61" s="8">
        <v>0.065</v>
      </c>
      <c r="E61" s="2">
        <f t="shared" si="1"/>
        <v>437.26</v>
      </c>
      <c r="F61" s="2" t="s">
        <v>1206</v>
      </c>
      <c r="G61" s="2">
        <f t="shared" si="2"/>
        <v>437.26</v>
      </c>
      <c r="H61" s="2" t="str">
        <f t="shared" si="3"/>
        <v>OK</v>
      </c>
      <c r="I61" s="2">
        <f t="array" ref="I61">IFERROR(XLOOKUP(XLOOKUP(A61, AP_Subledger!A:A, AP_Subledger!H:H), Tax_Rates_Reference!A:A, Tax_Rates_Reference!C:C), "")
</f>
        <v>0.065</v>
      </c>
      <c r="J61" s="2" t="b">
        <f t="shared" si="4"/>
        <v>1</v>
      </c>
    </row>
    <row r="62">
      <c r="A62" s="2" t="s">
        <v>105</v>
      </c>
      <c r="B62" s="2" t="s">
        <v>1205</v>
      </c>
      <c r="C62" s="8">
        <v>17710.86</v>
      </c>
      <c r="D62" s="8">
        <v>0.065</v>
      </c>
      <c r="E62" s="2">
        <f t="shared" si="1"/>
        <v>1151.21</v>
      </c>
      <c r="F62" s="2" t="s">
        <v>1206</v>
      </c>
      <c r="G62" s="2">
        <f t="shared" si="2"/>
        <v>1151.21</v>
      </c>
      <c r="H62" s="2" t="str">
        <f t="shared" si="3"/>
        <v>OK</v>
      </c>
      <c r="I62" s="2">
        <f t="array" ref="I62">IFERROR(XLOOKUP(XLOOKUP(A62, AP_Subledger!A:A, AP_Subledger!H:H), Tax_Rates_Reference!A:A, Tax_Rates_Reference!C:C), "")
</f>
        <v>0.065</v>
      </c>
      <c r="J62" s="2" t="b">
        <f t="shared" si="4"/>
        <v>1</v>
      </c>
    </row>
    <row r="63">
      <c r="A63" s="2" t="s">
        <v>106</v>
      </c>
      <c r="B63" s="2" t="s">
        <v>1205</v>
      </c>
      <c r="C63" s="8">
        <v>6777.07</v>
      </c>
      <c r="D63" s="8">
        <v>0.075</v>
      </c>
      <c r="E63" s="2">
        <f t="shared" si="1"/>
        <v>576.05</v>
      </c>
      <c r="F63" s="2" t="s">
        <v>1206</v>
      </c>
      <c r="G63" s="2">
        <f t="shared" si="2"/>
        <v>508.28</v>
      </c>
      <c r="H63" s="2" t="str">
        <f t="shared" si="3"/>
        <v>Mismatch</v>
      </c>
      <c r="I63" s="2">
        <f t="array" ref="I63">IFERROR(XLOOKUP(XLOOKUP(A63, AP_Subledger!A:A, AP_Subledger!H:H), Tax_Rates_Reference!A:A, Tax_Rates_Reference!C:C), "")
</f>
        <v>0.075</v>
      </c>
      <c r="J63" s="2" t="b">
        <f t="shared" si="4"/>
        <v>1</v>
      </c>
    </row>
    <row r="64">
      <c r="A64" s="2" t="s">
        <v>107</v>
      </c>
      <c r="B64" s="2" t="s">
        <v>1205</v>
      </c>
      <c r="C64" s="8">
        <v>5259.71</v>
      </c>
      <c r="D64" s="8">
        <v>0.065</v>
      </c>
      <c r="E64" s="2">
        <f t="shared" si="1"/>
        <v>394.48</v>
      </c>
      <c r="F64" s="2" t="s">
        <v>1206</v>
      </c>
      <c r="G64" s="2">
        <f t="shared" si="2"/>
        <v>341.88</v>
      </c>
      <c r="H64" s="2" t="str">
        <f t="shared" si="3"/>
        <v>Mismatch</v>
      </c>
      <c r="I64" s="2">
        <f t="array" ref="I64">IFERROR(XLOOKUP(XLOOKUP(A64, AP_Subledger!A:A, AP_Subledger!H:H), Tax_Rates_Reference!A:A, Tax_Rates_Reference!C:C), "")
</f>
        <v>0.065</v>
      </c>
      <c r="J64" s="2" t="b">
        <f t="shared" si="4"/>
        <v>1</v>
      </c>
    </row>
    <row r="65">
      <c r="A65" s="2" t="s">
        <v>108</v>
      </c>
      <c r="B65" s="2" t="s">
        <v>1205</v>
      </c>
      <c r="C65" s="8">
        <v>8780.88</v>
      </c>
      <c r="D65" s="8">
        <v>0.065</v>
      </c>
      <c r="E65" s="2">
        <f t="shared" si="1"/>
        <v>570.76</v>
      </c>
      <c r="F65" s="2" t="s">
        <v>1206</v>
      </c>
      <c r="G65" s="2">
        <f t="shared" si="2"/>
        <v>570.76</v>
      </c>
      <c r="H65" s="2" t="str">
        <f t="shared" si="3"/>
        <v>OK</v>
      </c>
      <c r="I65" s="2">
        <f t="array" ref="I65">IFERROR(XLOOKUP(XLOOKUP(A65, AP_Subledger!A:A, AP_Subledger!H:H), Tax_Rates_Reference!A:A, Tax_Rates_Reference!C:C), "")
</f>
        <v>0.065</v>
      </c>
      <c r="J65" s="2" t="b">
        <f t="shared" si="4"/>
        <v>1</v>
      </c>
    </row>
    <row r="66">
      <c r="A66" s="2" t="s">
        <v>109</v>
      </c>
      <c r="B66" s="2" t="s">
        <v>1205</v>
      </c>
      <c r="C66" s="8">
        <v>8539.74</v>
      </c>
      <c r="D66" s="8">
        <v>0.065</v>
      </c>
      <c r="E66" s="2">
        <f t="shared" si="1"/>
        <v>555.08</v>
      </c>
      <c r="F66" s="2" t="s">
        <v>1206</v>
      </c>
      <c r="G66" s="2">
        <f t="shared" si="2"/>
        <v>555.08</v>
      </c>
      <c r="H66" s="2" t="str">
        <f t="shared" si="3"/>
        <v>OK</v>
      </c>
      <c r="I66" s="2">
        <f t="array" ref="I66">IFERROR(XLOOKUP(XLOOKUP(A66, AP_Subledger!A:A, AP_Subledger!H:H), Tax_Rates_Reference!A:A, Tax_Rates_Reference!C:C), "")
</f>
        <v>0.065</v>
      </c>
      <c r="J66" s="2" t="b">
        <f t="shared" si="4"/>
        <v>1</v>
      </c>
    </row>
    <row r="67">
      <c r="A67" s="2" t="s">
        <v>110</v>
      </c>
      <c r="B67" s="2" t="s">
        <v>1205</v>
      </c>
      <c r="C67" s="8">
        <v>21579.91</v>
      </c>
      <c r="D67" s="8">
        <v>0.075</v>
      </c>
      <c r="E67" s="2">
        <f t="shared" si="1"/>
        <v>1618.49</v>
      </c>
      <c r="F67" s="2" t="s">
        <v>1206</v>
      </c>
      <c r="G67" s="2">
        <f t="shared" si="2"/>
        <v>1618.49</v>
      </c>
      <c r="H67" s="2" t="str">
        <f t="shared" si="3"/>
        <v>OK</v>
      </c>
      <c r="I67" s="2">
        <f t="array" ref="I67">IFERROR(XLOOKUP(XLOOKUP(A67, AP_Subledger!A:A, AP_Subledger!H:H), Tax_Rates_Reference!A:A, Tax_Rates_Reference!C:C), "")
</f>
        <v>0.075</v>
      </c>
      <c r="J67" s="2" t="b">
        <f t="shared" si="4"/>
        <v>1</v>
      </c>
    </row>
    <row r="68">
      <c r="A68" s="2" t="s">
        <v>111</v>
      </c>
      <c r="B68" s="2" t="s">
        <v>1205</v>
      </c>
      <c r="C68" s="8">
        <v>13658.52</v>
      </c>
      <c r="D68" s="8">
        <v>0.075</v>
      </c>
      <c r="E68" s="2">
        <f t="shared" si="1"/>
        <v>1024.39</v>
      </c>
      <c r="F68" s="2" t="s">
        <v>1206</v>
      </c>
      <c r="G68" s="2">
        <f t="shared" si="2"/>
        <v>1024.39</v>
      </c>
      <c r="H68" s="2" t="str">
        <f t="shared" si="3"/>
        <v>OK</v>
      </c>
      <c r="I68" s="2">
        <f t="array" ref="I68">IFERROR(XLOOKUP(XLOOKUP(A68, AP_Subledger!A:A, AP_Subledger!H:H), Tax_Rates_Reference!A:A, Tax_Rates_Reference!C:C), "")
</f>
        <v>0.075</v>
      </c>
      <c r="J68" s="2" t="b">
        <f t="shared" si="4"/>
        <v>1</v>
      </c>
    </row>
    <row r="69">
      <c r="A69" s="2" t="s">
        <v>112</v>
      </c>
      <c r="B69" s="2" t="s">
        <v>1205</v>
      </c>
      <c r="C69" s="8">
        <v>24148.67</v>
      </c>
      <c r="D69" s="8">
        <v>0.06</v>
      </c>
      <c r="E69" s="2">
        <f t="shared" si="1"/>
        <v>1448.92</v>
      </c>
      <c r="F69" s="2" t="s">
        <v>1206</v>
      </c>
      <c r="G69" s="2">
        <f t="shared" si="2"/>
        <v>1448.92</v>
      </c>
      <c r="H69" s="2" t="str">
        <f t="shared" si="3"/>
        <v>OK</v>
      </c>
      <c r="I69" s="2">
        <f t="array" ref="I69">IFERROR(XLOOKUP(XLOOKUP(A69, AP_Subledger!A:A, AP_Subledger!H:H), Tax_Rates_Reference!A:A, Tax_Rates_Reference!C:C), "")
</f>
        <v>0.06</v>
      </c>
      <c r="J69" s="2" t="b">
        <f t="shared" si="4"/>
        <v>1</v>
      </c>
    </row>
    <row r="70">
      <c r="A70" s="2" t="s">
        <v>113</v>
      </c>
      <c r="B70" s="2" t="s">
        <v>1205</v>
      </c>
      <c r="C70" s="8">
        <v>10578.17</v>
      </c>
      <c r="D70" s="8">
        <v>0.075</v>
      </c>
      <c r="E70" s="2">
        <f t="shared" si="1"/>
        <v>793.36</v>
      </c>
      <c r="F70" s="2" t="s">
        <v>1206</v>
      </c>
      <c r="G70" s="2">
        <f t="shared" si="2"/>
        <v>793.36</v>
      </c>
      <c r="H70" s="2" t="str">
        <f t="shared" si="3"/>
        <v>OK</v>
      </c>
      <c r="I70" s="2">
        <f t="array" ref="I70">IFERROR(XLOOKUP(XLOOKUP(A70, AP_Subledger!A:A, AP_Subledger!H:H), Tax_Rates_Reference!A:A, Tax_Rates_Reference!C:C), "")
</f>
        <v>0.075</v>
      </c>
      <c r="J70" s="2" t="b">
        <f t="shared" si="4"/>
        <v>1</v>
      </c>
    </row>
    <row r="71">
      <c r="A71" s="2" t="s">
        <v>114</v>
      </c>
      <c r="B71" s="2" t="s">
        <v>1205</v>
      </c>
      <c r="C71" s="8">
        <v>24253.65</v>
      </c>
      <c r="D71" s="8">
        <v>0.065</v>
      </c>
      <c r="E71" s="2">
        <f t="shared" si="1"/>
        <v>1576.49</v>
      </c>
      <c r="F71" s="2" t="s">
        <v>1206</v>
      </c>
      <c r="G71" s="2">
        <f t="shared" si="2"/>
        <v>1576.49</v>
      </c>
      <c r="H71" s="2" t="str">
        <f t="shared" si="3"/>
        <v>OK</v>
      </c>
      <c r="I71" s="2">
        <f t="array" ref="I71">IFERROR(XLOOKUP(XLOOKUP(A71, AP_Subledger!A:A, AP_Subledger!H:H), Tax_Rates_Reference!A:A, Tax_Rates_Reference!C:C), "")
</f>
        <v>0.065</v>
      </c>
      <c r="J71" s="2" t="b">
        <f t="shared" si="4"/>
        <v>1</v>
      </c>
    </row>
    <row r="72">
      <c r="A72" s="2" t="s">
        <v>115</v>
      </c>
      <c r="B72" s="2" t="s">
        <v>1205</v>
      </c>
      <c r="C72" s="8">
        <v>11121.26</v>
      </c>
      <c r="D72" s="8">
        <v>0.075</v>
      </c>
      <c r="E72" s="2">
        <f t="shared" si="1"/>
        <v>834.09</v>
      </c>
      <c r="F72" s="2" t="s">
        <v>1206</v>
      </c>
      <c r="G72" s="2">
        <f t="shared" si="2"/>
        <v>834.09</v>
      </c>
      <c r="H72" s="2" t="str">
        <f t="shared" si="3"/>
        <v>OK</v>
      </c>
      <c r="I72" s="2">
        <f t="array" ref="I72">IFERROR(XLOOKUP(XLOOKUP(A72, AP_Subledger!A:A, AP_Subledger!H:H), Tax_Rates_Reference!A:A, Tax_Rates_Reference!C:C), "")
</f>
        <v>0.075</v>
      </c>
      <c r="J72" s="2" t="b">
        <f t="shared" si="4"/>
        <v>1</v>
      </c>
    </row>
    <row r="73">
      <c r="A73" s="2" t="s">
        <v>116</v>
      </c>
      <c r="B73" s="2" t="s">
        <v>1205</v>
      </c>
      <c r="C73" s="8">
        <v>17368.25</v>
      </c>
      <c r="D73" s="8">
        <v>0.07</v>
      </c>
      <c r="E73" s="2">
        <f t="shared" si="1"/>
        <v>1215.78</v>
      </c>
      <c r="F73" s="2" t="s">
        <v>1206</v>
      </c>
      <c r="G73" s="2">
        <f t="shared" si="2"/>
        <v>1215.78</v>
      </c>
      <c r="H73" s="2" t="str">
        <f t="shared" si="3"/>
        <v>OK</v>
      </c>
      <c r="I73" s="2">
        <f t="array" ref="I73">IFERROR(XLOOKUP(XLOOKUP(A73, AP_Subledger!A:A, AP_Subledger!H:H), Tax_Rates_Reference!A:A, Tax_Rates_Reference!C:C), "")
</f>
        <v>0.07</v>
      </c>
      <c r="J73" s="2" t="b">
        <f t="shared" si="4"/>
        <v>1</v>
      </c>
    </row>
    <row r="74">
      <c r="A74" s="2" t="s">
        <v>117</v>
      </c>
      <c r="B74" s="2" t="s">
        <v>1205</v>
      </c>
      <c r="C74" s="8">
        <v>13956.05</v>
      </c>
      <c r="D74" s="8">
        <v>0.06</v>
      </c>
      <c r="E74" s="2">
        <f t="shared" si="1"/>
        <v>697.8</v>
      </c>
      <c r="F74" s="2" t="s">
        <v>1206</v>
      </c>
      <c r="G74" s="2">
        <f t="shared" si="2"/>
        <v>837.36</v>
      </c>
      <c r="H74" s="2" t="str">
        <f t="shared" si="3"/>
        <v>Mismatch</v>
      </c>
      <c r="I74" s="2">
        <f t="array" ref="I74">IFERROR(XLOOKUP(XLOOKUP(A74, AP_Subledger!A:A, AP_Subledger!H:H), Tax_Rates_Reference!A:A, Tax_Rates_Reference!C:C), "")
</f>
        <v>0.06</v>
      </c>
      <c r="J74" s="2" t="b">
        <f t="shared" si="4"/>
        <v>1</v>
      </c>
    </row>
    <row r="75">
      <c r="A75" s="2" t="s">
        <v>118</v>
      </c>
      <c r="B75" s="2" t="s">
        <v>1205</v>
      </c>
      <c r="C75" s="8">
        <v>16599.23</v>
      </c>
      <c r="D75" s="8">
        <v>0.07</v>
      </c>
      <c r="E75" s="2">
        <f t="shared" si="1"/>
        <v>1161.95</v>
      </c>
      <c r="F75" s="2" t="s">
        <v>1206</v>
      </c>
      <c r="G75" s="2">
        <f t="shared" si="2"/>
        <v>1161.95</v>
      </c>
      <c r="H75" s="2" t="str">
        <f t="shared" si="3"/>
        <v>OK</v>
      </c>
      <c r="I75" s="2">
        <f t="array" ref="I75">IFERROR(XLOOKUP(XLOOKUP(A75, AP_Subledger!A:A, AP_Subledger!H:H), Tax_Rates_Reference!A:A, Tax_Rates_Reference!C:C), "")
</f>
        <v>0.07</v>
      </c>
      <c r="J75" s="2" t="b">
        <f t="shared" si="4"/>
        <v>1</v>
      </c>
    </row>
    <row r="76">
      <c r="A76" s="2" t="s">
        <v>119</v>
      </c>
      <c r="B76" s="2" t="s">
        <v>1205</v>
      </c>
      <c r="C76" s="8">
        <v>3444.03</v>
      </c>
      <c r="D76" s="8">
        <v>0.06</v>
      </c>
      <c r="E76" s="2">
        <f t="shared" si="1"/>
        <v>413.28</v>
      </c>
      <c r="F76" s="2" t="s">
        <v>1206</v>
      </c>
      <c r="G76" s="2">
        <f t="shared" si="2"/>
        <v>206.64</v>
      </c>
      <c r="H76" s="2" t="str">
        <f t="shared" si="3"/>
        <v>Mismatch</v>
      </c>
      <c r="I76" s="2">
        <f t="array" ref="I76">IFERROR(XLOOKUP(XLOOKUP(A76, AP_Subledger!A:A, AP_Subledger!H:H), Tax_Rates_Reference!A:A, Tax_Rates_Reference!C:C), "")
</f>
        <v>0.06</v>
      </c>
      <c r="J76" s="2" t="b">
        <f t="shared" si="4"/>
        <v>1</v>
      </c>
    </row>
    <row r="77">
      <c r="A77" s="2" t="s">
        <v>120</v>
      </c>
      <c r="B77" s="2" t="s">
        <v>1205</v>
      </c>
      <c r="C77" s="8">
        <v>17739.62</v>
      </c>
      <c r="D77" s="8">
        <v>0.095</v>
      </c>
      <c r="E77" s="2">
        <f t="shared" si="1"/>
        <v>1685.26</v>
      </c>
      <c r="F77" s="2" t="s">
        <v>1206</v>
      </c>
      <c r="G77" s="2">
        <f t="shared" si="2"/>
        <v>1685.26</v>
      </c>
      <c r="H77" s="2" t="str">
        <f t="shared" si="3"/>
        <v>OK</v>
      </c>
      <c r="I77" s="2">
        <f t="array" ref="I77">IFERROR(XLOOKUP(XLOOKUP(A77, AP_Subledger!A:A, AP_Subledger!H:H), Tax_Rates_Reference!A:A, Tax_Rates_Reference!C:C), "")
</f>
        <v>0.075</v>
      </c>
      <c r="J77" s="2" t="b">
        <f t="shared" si="4"/>
        <v>0</v>
      </c>
    </row>
    <row r="78">
      <c r="A78" s="2" t="s">
        <v>121</v>
      </c>
      <c r="B78" s="2" t="s">
        <v>1205</v>
      </c>
      <c r="C78" s="8">
        <v>4743.45</v>
      </c>
      <c r="D78" s="8">
        <v>0.07</v>
      </c>
      <c r="E78" s="2">
        <f t="shared" si="1"/>
        <v>332.04</v>
      </c>
      <c r="F78" s="2" t="s">
        <v>1206</v>
      </c>
      <c r="G78" s="2">
        <f t="shared" si="2"/>
        <v>332.04</v>
      </c>
      <c r="H78" s="2" t="str">
        <f t="shared" si="3"/>
        <v>OK</v>
      </c>
      <c r="I78" s="2">
        <f t="array" ref="I78">IFERROR(XLOOKUP(XLOOKUP(A78, AP_Subledger!A:A, AP_Subledger!H:H), Tax_Rates_Reference!A:A, Tax_Rates_Reference!C:C), "")
</f>
        <v>0.07</v>
      </c>
      <c r="J78" s="2" t="b">
        <f t="shared" si="4"/>
        <v>1</v>
      </c>
    </row>
    <row r="79">
      <c r="A79" s="2" t="s">
        <v>122</v>
      </c>
      <c r="B79" s="2" t="s">
        <v>1205</v>
      </c>
      <c r="C79" s="8">
        <v>16059.79</v>
      </c>
      <c r="D79" s="8">
        <v>0.07</v>
      </c>
      <c r="E79" s="2">
        <f t="shared" si="1"/>
        <v>2248.37</v>
      </c>
      <c r="F79" s="2" t="s">
        <v>1206</v>
      </c>
      <c r="G79" s="2">
        <f t="shared" si="2"/>
        <v>1124.19</v>
      </c>
      <c r="H79" s="2" t="str">
        <f t="shared" si="3"/>
        <v>Mismatch</v>
      </c>
      <c r="I79" s="2">
        <f t="array" ref="I79">IFERROR(XLOOKUP(XLOOKUP(A79, AP_Subledger!A:A, AP_Subledger!H:H), Tax_Rates_Reference!A:A, Tax_Rates_Reference!C:C), "")
</f>
        <v>0.07</v>
      </c>
      <c r="J79" s="2" t="b">
        <f t="shared" si="4"/>
        <v>1</v>
      </c>
    </row>
    <row r="80">
      <c r="A80" s="2" t="s">
        <v>123</v>
      </c>
      <c r="B80" s="2" t="s">
        <v>1205</v>
      </c>
      <c r="C80" s="8">
        <v>12775.48</v>
      </c>
      <c r="D80" s="8">
        <v>0.065</v>
      </c>
      <c r="E80" s="2">
        <f t="shared" si="1"/>
        <v>830.41</v>
      </c>
      <c r="F80" s="2" t="s">
        <v>1206</v>
      </c>
      <c r="G80" s="2">
        <f t="shared" si="2"/>
        <v>830.41</v>
      </c>
      <c r="H80" s="2" t="str">
        <f t="shared" si="3"/>
        <v>OK</v>
      </c>
      <c r="I80" s="2">
        <f t="array" ref="I80">IFERROR(XLOOKUP(XLOOKUP(A80, AP_Subledger!A:A, AP_Subledger!H:H), Tax_Rates_Reference!A:A, Tax_Rates_Reference!C:C), "")
</f>
        <v>0.065</v>
      </c>
      <c r="J80" s="2" t="b">
        <f t="shared" si="4"/>
        <v>1</v>
      </c>
    </row>
    <row r="81">
      <c r="A81" s="2" t="s">
        <v>124</v>
      </c>
      <c r="B81" s="2" t="s">
        <v>1205</v>
      </c>
      <c r="C81" s="8">
        <v>16239.27</v>
      </c>
      <c r="D81" s="8">
        <v>0.065</v>
      </c>
      <c r="E81" s="2">
        <f t="shared" si="1"/>
        <v>1055.55</v>
      </c>
      <c r="F81" s="2" t="s">
        <v>1206</v>
      </c>
      <c r="G81" s="2">
        <f t="shared" si="2"/>
        <v>1055.55</v>
      </c>
      <c r="H81" s="2" t="str">
        <f t="shared" si="3"/>
        <v>OK</v>
      </c>
      <c r="I81" s="2">
        <f t="array" ref="I81">IFERROR(XLOOKUP(XLOOKUP(A81, AP_Subledger!A:A, AP_Subledger!H:H), Tax_Rates_Reference!A:A, Tax_Rates_Reference!C:C), "")
</f>
        <v>0.065</v>
      </c>
      <c r="J81" s="2" t="b">
        <f t="shared" si="4"/>
        <v>1</v>
      </c>
    </row>
    <row r="82">
      <c r="A82" s="2" t="s">
        <v>125</v>
      </c>
      <c r="B82" s="2" t="s">
        <v>1205</v>
      </c>
      <c r="C82" s="8">
        <v>10010.16</v>
      </c>
      <c r="D82" s="8">
        <v>0.065</v>
      </c>
      <c r="E82" s="2">
        <f t="shared" si="1"/>
        <v>650.66</v>
      </c>
      <c r="F82" s="2" t="s">
        <v>1206</v>
      </c>
      <c r="G82" s="2">
        <f t="shared" si="2"/>
        <v>650.66</v>
      </c>
      <c r="H82" s="2" t="str">
        <f t="shared" si="3"/>
        <v>OK</v>
      </c>
      <c r="I82" s="2">
        <f t="array" ref="I82">IFERROR(XLOOKUP(XLOOKUP(A82, AP_Subledger!A:A, AP_Subledger!H:H), Tax_Rates_Reference!A:A, Tax_Rates_Reference!C:C), "")
</f>
        <v>0.065</v>
      </c>
      <c r="J82" s="2" t="b">
        <f t="shared" si="4"/>
        <v>1</v>
      </c>
    </row>
    <row r="83">
      <c r="A83" s="2" t="s">
        <v>126</v>
      </c>
      <c r="B83" s="2" t="s">
        <v>1205</v>
      </c>
      <c r="C83" s="8">
        <v>15835.52</v>
      </c>
      <c r="D83" s="8">
        <v>0.065</v>
      </c>
      <c r="E83" s="2">
        <f t="shared" si="1"/>
        <v>1029.31</v>
      </c>
      <c r="F83" s="2" t="s">
        <v>1206</v>
      </c>
      <c r="G83" s="2">
        <f t="shared" si="2"/>
        <v>1029.31</v>
      </c>
      <c r="H83" s="2" t="str">
        <f t="shared" si="3"/>
        <v>OK</v>
      </c>
      <c r="I83" s="2">
        <f t="array" ref="I83">IFERROR(XLOOKUP(XLOOKUP(A83, AP_Subledger!A:A, AP_Subledger!H:H), Tax_Rates_Reference!A:A, Tax_Rates_Reference!C:C), "")
</f>
        <v>0.065</v>
      </c>
      <c r="J83" s="2" t="b">
        <f t="shared" si="4"/>
        <v>1</v>
      </c>
    </row>
    <row r="84">
      <c r="A84" s="2" t="s">
        <v>127</v>
      </c>
      <c r="B84" s="2" t="s">
        <v>1205</v>
      </c>
      <c r="C84" s="8">
        <v>7212.05</v>
      </c>
      <c r="D84" s="8">
        <v>0.06</v>
      </c>
      <c r="E84" s="2">
        <f t="shared" si="1"/>
        <v>432.72</v>
      </c>
      <c r="F84" s="2" t="s">
        <v>1206</v>
      </c>
      <c r="G84" s="2">
        <f t="shared" si="2"/>
        <v>432.72</v>
      </c>
      <c r="H84" s="2" t="str">
        <f t="shared" si="3"/>
        <v>OK</v>
      </c>
      <c r="I84" s="2">
        <f t="array" ref="I84">IFERROR(XLOOKUP(XLOOKUP(A84, AP_Subledger!A:A, AP_Subledger!H:H), Tax_Rates_Reference!A:A, Tax_Rates_Reference!C:C), "")
</f>
        <v>0.06</v>
      </c>
      <c r="J84" s="2" t="b">
        <f t="shared" si="4"/>
        <v>1</v>
      </c>
    </row>
    <row r="85">
      <c r="A85" s="2" t="s">
        <v>128</v>
      </c>
      <c r="B85" s="2" t="s">
        <v>1205</v>
      </c>
      <c r="C85" s="8">
        <v>17233.67</v>
      </c>
      <c r="D85" s="8">
        <v>0.06</v>
      </c>
      <c r="E85" s="2">
        <f t="shared" si="1"/>
        <v>2068.04</v>
      </c>
      <c r="F85" s="2" t="s">
        <v>1206</v>
      </c>
      <c r="G85" s="2">
        <f t="shared" si="2"/>
        <v>1034.02</v>
      </c>
      <c r="H85" s="2" t="str">
        <f t="shared" si="3"/>
        <v>Mismatch</v>
      </c>
      <c r="I85" s="2">
        <f t="array" ref="I85">IFERROR(XLOOKUP(XLOOKUP(A85, AP_Subledger!A:A, AP_Subledger!H:H), Tax_Rates_Reference!A:A, Tax_Rates_Reference!C:C), "")
</f>
        <v>0.06</v>
      </c>
      <c r="J85" s="2" t="b">
        <f t="shared" si="4"/>
        <v>1</v>
      </c>
    </row>
    <row r="86">
      <c r="A86" s="2" t="s">
        <v>129</v>
      </c>
      <c r="B86" s="2" t="s">
        <v>1205</v>
      </c>
      <c r="C86" s="8">
        <v>1070.16</v>
      </c>
      <c r="D86" s="8">
        <v>0.075</v>
      </c>
      <c r="E86" s="2">
        <f t="shared" si="1"/>
        <v>80.26</v>
      </c>
      <c r="F86" s="2" t="s">
        <v>1206</v>
      </c>
      <c r="G86" s="2">
        <f t="shared" si="2"/>
        <v>80.26</v>
      </c>
      <c r="H86" s="2" t="str">
        <f t="shared" si="3"/>
        <v>OK</v>
      </c>
      <c r="I86" s="2">
        <f t="array" ref="I86">IFERROR(XLOOKUP(XLOOKUP(A86, AP_Subledger!A:A, AP_Subledger!H:H), Tax_Rates_Reference!A:A, Tax_Rates_Reference!C:C), "")
</f>
        <v>0.075</v>
      </c>
      <c r="J86" s="2" t="b">
        <f t="shared" si="4"/>
        <v>1</v>
      </c>
    </row>
    <row r="87">
      <c r="A87" s="2" t="s">
        <v>130</v>
      </c>
      <c r="B87" s="2" t="s">
        <v>1205</v>
      </c>
      <c r="C87" s="8">
        <v>9034.25</v>
      </c>
      <c r="D87" s="8">
        <v>0.075</v>
      </c>
      <c r="E87" s="2">
        <f t="shared" si="1"/>
        <v>677.57</v>
      </c>
      <c r="F87" s="2" t="s">
        <v>1206</v>
      </c>
      <c r="G87" s="2">
        <f t="shared" si="2"/>
        <v>677.57</v>
      </c>
      <c r="H87" s="2" t="str">
        <f t="shared" si="3"/>
        <v>OK</v>
      </c>
      <c r="I87" s="2">
        <f t="array" ref="I87">IFERROR(XLOOKUP(XLOOKUP(A87, AP_Subledger!A:A, AP_Subledger!H:H), Tax_Rates_Reference!A:A, Tax_Rates_Reference!C:C), "")
</f>
        <v>0.075</v>
      </c>
      <c r="J87" s="2" t="b">
        <f t="shared" si="4"/>
        <v>1</v>
      </c>
    </row>
    <row r="88">
      <c r="A88" s="2" t="s">
        <v>131</v>
      </c>
      <c r="B88" s="2" t="s">
        <v>1205</v>
      </c>
      <c r="C88" s="8">
        <v>7409.85</v>
      </c>
      <c r="D88" s="8">
        <v>0.06</v>
      </c>
      <c r="E88" s="2">
        <f t="shared" si="1"/>
        <v>444.59</v>
      </c>
      <c r="F88" s="2" t="s">
        <v>1206</v>
      </c>
      <c r="G88" s="2">
        <f t="shared" si="2"/>
        <v>444.59</v>
      </c>
      <c r="H88" s="2" t="str">
        <f t="shared" si="3"/>
        <v>OK</v>
      </c>
      <c r="I88" s="2">
        <f t="array" ref="I88">IFERROR(XLOOKUP(XLOOKUP(A88, AP_Subledger!A:A, AP_Subledger!H:H), Tax_Rates_Reference!A:A, Tax_Rates_Reference!C:C), "")
</f>
        <v>0.06</v>
      </c>
      <c r="J88" s="2" t="b">
        <f t="shared" si="4"/>
        <v>1</v>
      </c>
    </row>
    <row r="89">
      <c r="A89" s="2" t="s">
        <v>132</v>
      </c>
      <c r="B89" s="2" t="s">
        <v>1205</v>
      </c>
      <c r="C89" s="8">
        <v>18425.37</v>
      </c>
      <c r="D89" s="8">
        <v>0.07</v>
      </c>
      <c r="E89" s="2">
        <f t="shared" si="1"/>
        <v>1289.78</v>
      </c>
      <c r="F89" s="2" t="s">
        <v>1206</v>
      </c>
      <c r="G89" s="2">
        <f t="shared" si="2"/>
        <v>1289.78</v>
      </c>
      <c r="H89" s="2" t="str">
        <f t="shared" si="3"/>
        <v>OK</v>
      </c>
      <c r="I89" s="2">
        <f t="array" ref="I89">IFERROR(XLOOKUP(XLOOKUP(A89, AP_Subledger!A:A, AP_Subledger!H:H), Tax_Rates_Reference!A:A, Tax_Rates_Reference!C:C), "")
</f>
        <v>0.07</v>
      </c>
      <c r="J89" s="2" t="b">
        <f t="shared" si="4"/>
        <v>1</v>
      </c>
    </row>
    <row r="90">
      <c r="A90" s="2" t="s">
        <v>133</v>
      </c>
      <c r="B90" s="2" t="s">
        <v>1205</v>
      </c>
      <c r="C90" s="8">
        <v>21531.11</v>
      </c>
      <c r="D90" s="8">
        <v>0.065</v>
      </c>
      <c r="E90" s="2">
        <f t="shared" si="1"/>
        <v>1399.52</v>
      </c>
      <c r="F90" s="2" t="s">
        <v>1206</v>
      </c>
      <c r="G90" s="2">
        <f t="shared" si="2"/>
        <v>1399.52</v>
      </c>
      <c r="H90" s="2" t="str">
        <f t="shared" si="3"/>
        <v>OK</v>
      </c>
      <c r="I90" s="2">
        <f t="array" ref="I90">IFERROR(XLOOKUP(XLOOKUP(A90, AP_Subledger!A:A, AP_Subledger!H:H), Tax_Rates_Reference!A:A, Tax_Rates_Reference!C:C), "")
</f>
        <v>0.065</v>
      </c>
      <c r="J90" s="2" t="b">
        <f t="shared" si="4"/>
        <v>1</v>
      </c>
    </row>
    <row r="91">
      <c r="A91" s="2" t="s">
        <v>134</v>
      </c>
      <c r="B91" s="2" t="s">
        <v>1205</v>
      </c>
      <c r="C91" s="8">
        <v>3026.53</v>
      </c>
      <c r="D91" s="8">
        <v>0.07</v>
      </c>
      <c r="E91" s="2">
        <f t="shared" si="1"/>
        <v>211.86</v>
      </c>
      <c r="F91" s="2" t="s">
        <v>1206</v>
      </c>
      <c r="G91" s="2">
        <f t="shared" si="2"/>
        <v>211.86</v>
      </c>
      <c r="H91" s="2" t="str">
        <f t="shared" si="3"/>
        <v>OK</v>
      </c>
      <c r="I91" s="2">
        <f t="array" ref="I91">IFERROR(XLOOKUP(XLOOKUP(A91, AP_Subledger!A:A, AP_Subledger!H:H), Tax_Rates_Reference!A:A, Tax_Rates_Reference!C:C), "")
</f>
        <v>0.07</v>
      </c>
      <c r="J91" s="2" t="b">
        <f t="shared" si="4"/>
        <v>1</v>
      </c>
    </row>
    <row r="92">
      <c r="A92" s="2" t="s">
        <v>135</v>
      </c>
      <c r="B92" s="2" t="s">
        <v>1205</v>
      </c>
      <c r="C92" s="8">
        <v>10045.64</v>
      </c>
      <c r="D92" s="8">
        <v>0.06</v>
      </c>
      <c r="E92" s="2">
        <f t="shared" si="1"/>
        <v>602.74</v>
      </c>
      <c r="F92" s="2" t="s">
        <v>1206</v>
      </c>
      <c r="G92" s="2">
        <f t="shared" si="2"/>
        <v>602.74</v>
      </c>
      <c r="H92" s="2" t="str">
        <f t="shared" si="3"/>
        <v>OK</v>
      </c>
      <c r="I92" s="2">
        <f t="array" ref="I92">IFERROR(XLOOKUP(XLOOKUP(A92, AP_Subledger!A:A, AP_Subledger!H:H), Tax_Rates_Reference!A:A, Tax_Rates_Reference!C:C), "")
</f>
        <v>0.06</v>
      </c>
      <c r="J92" s="2" t="b">
        <f t="shared" si="4"/>
        <v>1</v>
      </c>
    </row>
    <row r="93">
      <c r="A93" s="2" t="s">
        <v>136</v>
      </c>
      <c r="B93" s="2" t="s">
        <v>1205</v>
      </c>
      <c r="C93" s="8">
        <v>23984.27</v>
      </c>
      <c r="D93" s="8">
        <v>0.07</v>
      </c>
      <c r="E93" s="2">
        <f t="shared" si="1"/>
        <v>0</v>
      </c>
      <c r="F93" s="2" t="s">
        <v>1206</v>
      </c>
      <c r="G93" s="2">
        <f t="shared" si="2"/>
        <v>1678.9</v>
      </c>
      <c r="H93" s="2" t="str">
        <f t="shared" si="3"/>
        <v>Mismatch</v>
      </c>
      <c r="I93" s="2">
        <f t="array" ref="I93">IFERROR(XLOOKUP(XLOOKUP(A93, AP_Subledger!A:A, AP_Subledger!H:H), Tax_Rates_Reference!A:A, Tax_Rates_Reference!C:C), "")
</f>
        <v>0.07</v>
      </c>
      <c r="J93" s="2" t="b">
        <f t="shared" si="4"/>
        <v>1</v>
      </c>
    </row>
    <row r="94">
      <c r="A94" s="2" t="s">
        <v>137</v>
      </c>
      <c r="B94" s="2" t="s">
        <v>1205</v>
      </c>
      <c r="C94" s="8">
        <v>23789.88</v>
      </c>
      <c r="D94" s="8">
        <v>0.065</v>
      </c>
      <c r="E94" s="2">
        <f t="shared" si="1"/>
        <v>1546.34</v>
      </c>
      <c r="F94" s="2" t="s">
        <v>1206</v>
      </c>
      <c r="G94" s="2">
        <f t="shared" si="2"/>
        <v>1546.34</v>
      </c>
      <c r="H94" s="2" t="str">
        <f t="shared" si="3"/>
        <v>OK</v>
      </c>
      <c r="I94" s="2">
        <f t="array" ref="I94">IFERROR(XLOOKUP(XLOOKUP(A94, AP_Subledger!A:A, AP_Subledger!H:H), Tax_Rates_Reference!A:A, Tax_Rates_Reference!C:C), "")
</f>
        <v>0.065</v>
      </c>
      <c r="J94" s="2" t="b">
        <f t="shared" si="4"/>
        <v>1</v>
      </c>
    </row>
    <row r="95">
      <c r="A95" s="2" t="s">
        <v>138</v>
      </c>
      <c r="B95" s="2" t="s">
        <v>1205</v>
      </c>
      <c r="C95" s="8">
        <v>8552.28</v>
      </c>
      <c r="D95" s="8">
        <v>0.07</v>
      </c>
      <c r="E95" s="2">
        <f t="shared" si="1"/>
        <v>598.66</v>
      </c>
      <c r="F95" s="2" t="s">
        <v>1206</v>
      </c>
      <c r="G95" s="2">
        <f t="shared" si="2"/>
        <v>598.66</v>
      </c>
      <c r="H95" s="2" t="str">
        <f t="shared" si="3"/>
        <v>OK</v>
      </c>
      <c r="I95" s="2">
        <f t="array" ref="I95">IFERROR(XLOOKUP(XLOOKUP(A95, AP_Subledger!A:A, AP_Subledger!H:H), Tax_Rates_Reference!A:A, Tax_Rates_Reference!C:C), "")
</f>
        <v>0.07</v>
      </c>
      <c r="J95" s="2" t="b">
        <f t="shared" si="4"/>
        <v>1</v>
      </c>
    </row>
    <row r="96">
      <c r="A96" s="2" t="s">
        <v>139</v>
      </c>
      <c r="B96" s="2" t="s">
        <v>1205</v>
      </c>
      <c r="C96" s="8">
        <v>3279.88</v>
      </c>
      <c r="D96" s="8">
        <v>0.06</v>
      </c>
      <c r="E96" s="2">
        <f t="shared" si="1"/>
        <v>196.79</v>
      </c>
      <c r="F96" s="2" t="s">
        <v>1206</v>
      </c>
      <c r="G96" s="2">
        <f t="shared" si="2"/>
        <v>196.79</v>
      </c>
      <c r="H96" s="2" t="str">
        <f t="shared" si="3"/>
        <v>OK</v>
      </c>
      <c r="I96" s="2">
        <f t="array" ref="I96">IFERROR(XLOOKUP(XLOOKUP(A96, AP_Subledger!A:A, AP_Subledger!H:H), Tax_Rates_Reference!A:A, Tax_Rates_Reference!C:C), "")
</f>
        <v>0.06</v>
      </c>
      <c r="J96" s="2" t="b">
        <f t="shared" si="4"/>
        <v>1</v>
      </c>
    </row>
    <row r="97">
      <c r="A97" s="2" t="s">
        <v>140</v>
      </c>
      <c r="B97" s="2" t="s">
        <v>1205</v>
      </c>
      <c r="C97" s="8">
        <v>13963.46</v>
      </c>
      <c r="D97" s="8">
        <v>0.07</v>
      </c>
      <c r="E97" s="2">
        <f t="shared" si="1"/>
        <v>977.44</v>
      </c>
      <c r="F97" s="2" t="s">
        <v>1206</v>
      </c>
      <c r="G97" s="2">
        <f t="shared" si="2"/>
        <v>977.44</v>
      </c>
      <c r="H97" s="2" t="str">
        <f t="shared" si="3"/>
        <v>OK</v>
      </c>
      <c r="I97" s="2">
        <f t="array" ref="I97">IFERROR(XLOOKUP(XLOOKUP(A97, AP_Subledger!A:A, AP_Subledger!H:H), Tax_Rates_Reference!A:A, Tax_Rates_Reference!C:C), "")
</f>
        <v>0.07</v>
      </c>
      <c r="J97" s="2" t="b">
        <f t="shared" si="4"/>
        <v>1</v>
      </c>
    </row>
    <row r="98">
      <c r="A98" s="2" t="s">
        <v>141</v>
      </c>
      <c r="B98" s="2" t="s">
        <v>1205</v>
      </c>
      <c r="C98" s="8">
        <v>19157.01</v>
      </c>
      <c r="D98" s="8">
        <v>0.07</v>
      </c>
      <c r="E98" s="2">
        <f t="shared" si="1"/>
        <v>1340.99</v>
      </c>
      <c r="F98" s="2" t="s">
        <v>1206</v>
      </c>
      <c r="G98" s="2">
        <f t="shared" si="2"/>
        <v>1340.99</v>
      </c>
      <c r="H98" s="2" t="str">
        <f t="shared" si="3"/>
        <v>OK</v>
      </c>
      <c r="I98" s="2">
        <f t="array" ref="I98">IFERROR(XLOOKUP(XLOOKUP(A98, AP_Subledger!A:A, AP_Subledger!H:H), Tax_Rates_Reference!A:A, Tax_Rates_Reference!C:C), "")
</f>
        <v>0.07</v>
      </c>
      <c r="J98" s="2" t="b">
        <f t="shared" si="4"/>
        <v>1</v>
      </c>
    </row>
    <row r="99">
      <c r="A99" s="2" t="s">
        <v>142</v>
      </c>
      <c r="B99" s="2" t="s">
        <v>1205</v>
      </c>
      <c r="C99" s="8">
        <v>2282.69</v>
      </c>
      <c r="D99" s="8">
        <v>0.07</v>
      </c>
      <c r="E99" s="2">
        <f t="shared" si="1"/>
        <v>159.79</v>
      </c>
      <c r="F99" s="2" t="s">
        <v>1206</v>
      </c>
      <c r="G99" s="2">
        <f t="shared" si="2"/>
        <v>159.79</v>
      </c>
      <c r="H99" s="2" t="str">
        <f t="shared" si="3"/>
        <v>OK</v>
      </c>
      <c r="I99" s="2">
        <f t="array" ref="I99">IFERROR(XLOOKUP(XLOOKUP(A99, AP_Subledger!A:A, AP_Subledger!H:H), Tax_Rates_Reference!A:A, Tax_Rates_Reference!C:C), "")
</f>
        <v>0.07</v>
      </c>
      <c r="J99" s="2" t="b">
        <f t="shared" si="4"/>
        <v>1</v>
      </c>
    </row>
    <row r="100">
      <c r="A100" s="2" t="s">
        <v>143</v>
      </c>
      <c r="B100" s="2" t="s">
        <v>1205</v>
      </c>
      <c r="C100" s="8">
        <v>24672.67</v>
      </c>
      <c r="D100" s="8">
        <v>0.075</v>
      </c>
      <c r="E100" s="2">
        <f t="shared" si="1"/>
        <v>1850.45</v>
      </c>
      <c r="F100" s="2" t="s">
        <v>1206</v>
      </c>
      <c r="G100" s="2">
        <f t="shared" si="2"/>
        <v>1850.45</v>
      </c>
      <c r="H100" s="2" t="str">
        <f t="shared" si="3"/>
        <v>OK</v>
      </c>
      <c r="I100" s="2">
        <f t="array" ref="I100">IFERROR(XLOOKUP(XLOOKUP(A100, AP_Subledger!A:A, AP_Subledger!H:H), Tax_Rates_Reference!A:A, Tax_Rates_Reference!C:C), "")
</f>
        <v>0.075</v>
      </c>
      <c r="J100" s="2" t="b">
        <f t="shared" si="4"/>
        <v>1</v>
      </c>
    </row>
    <row r="101">
      <c r="A101" s="2" t="s">
        <v>144</v>
      </c>
      <c r="B101" s="2" t="s">
        <v>1205</v>
      </c>
      <c r="C101" s="8">
        <v>23707.59</v>
      </c>
      <c r="D101" s="8">
        <v>0.06</v>
      </c>
      <c r="E101" s="2">
        <f t="shared" si="1"/>
        <v>1422.46</v>
      </c>
      <c r="F101" s="2" t="s">
        <v>1206</v>
      </c>
      <c r="G101" s="2">
        <f t="shared" si="2"/>
        <v>1422.46</v>
      </c>
      <c r="H101" s="2" t="str">
        <f t="shared" si="3"/>
        <v>OK</v>
      </c>
      <c r="I101" s="2">
        <f t="array" ref="I101">IFERROR(XLOOKUP(XLOOKUP(A101, AP_Subledger!A:A, AP_Subledger!H:H), Tax_Rates_Reference!A:A, Tax_Rates_Reference!C:C), "")
</f>
        <v>0.06</v>
      </c>
      <c r="J101" s="2" t="b">
        <f t="shared" si="4"/>
        <v>1</v>
      </c>
    </row>
    <row r="102">
      <c r="A102" s="2" t="s">
        <v>145</v>
      </c>
      <c r="B102" s="2" t="s">
        <v>1205</v>
      </c>
      <c r="C102" s="8">
        <v>17850.44</v>
      </c>
      <c r="D102" s="8">
        <v>0.07</v>
      </c>
      <c r="E102" s="2">
        <f t="shared" si="1"/>
        <v>1249.53</v>
      </c>
      <c r="F102" s="2" t="s">
        <v>1206</v>
      </c>
      <c r="G102" s="2">
        <f t="shared" si="2"/>
        <v>1249.53</v>
      </c>
      <c r="H102" s="2" t="str">
        <f t="shared" si="3"/>
        <v>OK</v>
      </c>
      <c r="I102" s="2">
        <f t="array" ref="I102">IFERROR(XLOOKUP(XLOOKUP(A102, AP_Subledger!A:A, AP_Subledger!H:H), Tax_Rates_Reference!A:A, Tax_Rates_Reference!C:C), "")
</f>
        <v>0.07</v>
      </c>
      <c r="J102" s="2" t="b">
        <f t="shared" si="4"/>
        <v>1</v>
      </c>
    </row>
    <row r="103">
      <c r="A103" s="2" t="s">
        <v>146</v>
      </c>
      <c r="B103" s="2" t="s">
        <v>1205</v>
      </c>
      <c r="C103" s="8">
        <v>22705.68</v>
      </c>
      <c r="D103" s="8">
        <v>0.07</v>
      </c>
      <c r="E103" s="2">
        <f t="shared" si="1"/>
        <v>1589.4</v>
      </c>
      <c r="F103" s="2" t="s">
        <v>1206</v>
      </c>
      <c r="G103" s="2">
        <f t="shared" si="2"/>
        <v>1589.4</v>
      </c>
      <c r="H103" s="2" t="str">
        <f t="shared" si="3"/>
        <v>OK</v>
      </c>
      <c r="I103" s="2">
        <f t="array" ref="I103">IFERROR(XLOOKUP(XLOOKUP(A103, AP_Subledger!A:A, AP_Subledger!H:H), Tax_Rates_Reference!A:A, Tax_Rates_Reference!C:C), "")
</f>
        <v>0.07</v>
      </c>
      <c r="J103" s="2" t="b">
        <f t="shared" si="4"/>
        <v>1</v>
      </c>
    </row>
    <row r="104">
      <c r="A104" s="2" t="s">
        <v>147</v>
      </c>
      <c r="B104" s="2" t="s">
        <v>1205</v>
      </c>
      <c r="C104" s="8">
        <v>14501.09</v>
      </c>
      <c r="D104" s="8">
        <v>0.07</v>
      </c>
      <c r="E104" s="2">
        <f t="shared" si="1"/>
        <v>2030.15</v>
      </c>
      <c r="F104" s="2" t="s">
        <v>1206</v>
      </c>
      <c r="G104" s="2">
        <f t="shared" si="2"/>
        <v>1015.08</v>
      </c>
      <c r="H104" s="2" t="str">
        <f t="shared" si="3"/>
        <v>Mismatch</v>
      </c>
      <c r="I104" s="2">
        <f t="array" ref="I104">IFERROR(XLOOKUP(XLOOKUP(A104, AP_Subledger!A:A, AP_Subledger!H:H), Tax_Rates_Reference!A:A, Tax_Rates_Reference!C:C), "")
</f>
        <v>0.07</v>
      </c>
      <c r="J104" s="2" t="b">
        <f t="shared" si="4"/>
        <v>1</v>
      </c>
    </row>
    <row r="105">
      <c r="A105" s="2" t="s">
        <v>148</v>
      </c>
      <c r="B105" s="2" t="s">
        <v>1205</v>
      </c>
      <c r="C105" s="8">
        <v>17185.47</v>
      </c>
      <c r="D105" s="8">
        <v>0.07</v>
      </c>
      <c r="E105" s="2">
        <f t="shared" si="1"/>
        <v>1202.98</v>
      </c>
      <c r="F105" s="2" t="s">
        <v>1206</v>
      </c>
      <c r="G105" s="2">
        <f t="shared" si="2"/>
        <v>1202.98</v>
      </c>
      <c r="H105" s="2" t="str">
        <f t="shared" si="3"/>
        <v>OK</v>
      </c>
      <c r="I105" s="2">
        <f t="array" ref="I105">IFERROR(XLOOKUP(XLOOKUP(A105, AP_Subledger!A:A, AP_Subledger!H:H), Tax_Rates_Reference!A:A, Tax_Rates_Reference!C:C), "")
</f>
        <v>0.07</v>
      </c>
      <c r="J105" s="2" t="b">
        <f t="shared" si="4"/>
        <v>1</v>
      </c>
    </row>
    <row r="106">
      <c r="A106" s="2" t="s">
        <v>149</v>
      </c>
      <c r="B106" s="2" t="s">
        <v>1205</v>
      </c>
      <c r="C106" s="8">
        <v>11190.23</v>
      </c>
      <c r="D106" s="8">
        <v>0.05</v>
      </c>
      <c r="E106" s="2">
        <f t="shared" si="1"/>
        <v>0</v>
      </c>
      <c r="F106" s="2" t="s">
        <v>1206</v>
      </c>
      <c r="G106" s="2">
        <f t="shared" si="2"/>
        <v>559.51</v>
      </c>
      <c r="H106" s="2" t="str">
        <f t="shared" si="3"/>
        <v>Mismatch</v>
      </c>
      <c r="I106" s="2">
        <f t="array" ref="I106">IFERROR(XLOOKUP(XLOOKUP(A106, AP_Subledger!A:A, AP_Subledger!H:H), Tax_Rates_Reference!A:A, Tax_Rates_Reference!C:C), "")
</f>
        <v>0.07</v>
      </c>
      <c r="J106" s="2" t="b">
        <f t="shared" si="4"/>
        <v>0</v>
      </c>
    </row>
    <row r="107">
      <c r="A107" s="2" t="s">
        <v>150</v>
      </c>
      <c r="B107" s="2" t="s">
        <v>1205</v>
      </c>
      <c r="C107" s="8">
        <v>8405.82</v>
      </c>
      <c r="D107" s="8">
        <v>0.07</v>
      </c>
      <c r="E107" s="2">
        <f t="shared" si="1"/>
        <v>504.35</v>
      </c>
      <c r="F107" s="2" t="s">
        <v>1206</v>
      </c>
      <c r="G107" s="2">
        <f t="shared" si="2"/>
        <v>588.41</v>
      </c>
      <c r="H107" s="2" t="str">
        <f t="shared" si="3"/>
        <v>Mismatch</v>
      </c>
      <c r="I107" s="2">
        <f t="array" ref="I107">IFERROR(XLOOKUP(XLOOKUP(A107, AP_Subledger!A:A, AP_Subledger!H:H), Tax_Rates_Reference!A:A, Tax_Rates_Reference!C:C), "")
</f>
        <v>0.07</v>
      </c>
      <c r="J107" s="2" t="b">
        <f t="shared" si="4"/>
        <v>1</v>
      </c>
    </row>
    <row r="108">
      <c r="A108" s="2" t="s">
        <v>151</v>
      </c>
      <c r="B108" s="2" t="s">
        <v>1205</v>
      </c>
      <c r="C108" s="8">
        <v>2348.15</v>
      </c>
      <c r="D108" s="8">
        <v>0.06</v>
      </c>
      <c r="E108" s="2">
        <f t="shared" si="1"/>
        <v>140.89</v>
      </c>
      <c r="F108" s="2" t="s">
        <v>1206</v>
      </c>
      <c r="G108" s="2">
        <f t="shared" si="2"/>
        <v>140.89</v>
      </c>
      <c r="H108" s="2" t="str">
        <f t="shared" si="3"/>
        <v>OK</v>
      </c>
      <c r="I108" s="2">
        <f t="array" ref="I108">IFERROR(XLOOKUP(XLOOKUP(A108, AP_Subledger!A:A, AP_Subledger!H:H), Tax_Rates_Reference!A:A, Tax_Rates_Reference!C:C), "")
</f>
        <v>0.06</v>
      </c>
      <c r="J108" s="2" t="b">
        <f t="shared" si="4"/>
        <v>1</v>
      </c>
    </row>
    <row r="109">
      <c r="A109" s="2" t="s">
        <v>152</v>
      </c>
      <c r="B109" s="2" t="s">
        <v>1205</v>
      </c>
      <c r="C109" s="8">
        <v>24897.87</v>
      </c>
      <c r="D109" s="8">
        <v>0.06</v>
      </c>
      <c r="E109" s="2">
        <f t="shared" si="1"/>
        <v>1244.89</v>
      </c>
      <c r="F109" s="2" t="s">
        <v>1206</v>
      </c>
      <c r="G109" s="2">
        <f t="shared" si="2"/>
        <v>1493.87</v>
      </c>
      <c r="H109" s="2" t="str">
        <f t="shared" si="3"/>
        <v>Mismatch</v>
      </c>
      <c r="I109" s="2">
        <f t="array" ref="I109">IFERROR(XLOOKUP(XLOOKUP(A109, AP_Subledger!A:A, AP_Subledger!H:H), Tax_Rates_Reference!A:A, Tax_Rates_Reference!C:C), "")
</f>
        <v>0.06</v>
      </c>
      <c r="J109" s="2" t="b">
        <f t="shared" si="4"/>
        <v>1</v>
      </c>
    </row>
    <row r="110">
      <c r="A110" s="2" t="s">
        <v>153</v>
      </c>
      <c r="B110" s="2" t="s">
        <v>1205</v>
      </c>
      <c r="C110" s="8">
        <v>22923.73</v>
      </c>
      <c r="D110" s="8">
        <v>0.08</v>
      </c>
      <c r="E110" s="2">
        <f t="shared" si="1"/>
        <v>1833.9</v>
      </c>
      <c r="F110" s="2" t="s">
        <v>1206</v>
      </c>
      <c r="G110" s="2">
        <f t="shared" si="2"/>
        <v>1833.9</v>
      </c>
      <c r="H110" s="2" t="str">
        <f t="shared" si="3"/>
        <v>OK</v>
      </c>
      <c r="I110" s="2">
        <f t="array" ref="I110">IFERROR(XLOOKUP(XLOOKUP(A110, AP_Subledger!A:A, AP_Subledger!H:H), Tax_Rates_Reference!A:A, Tax_Rates_Reference!C:C), "")
</f>
        <v>0.06</v>
      </c>
      <c r="J110" s="2" t="b">
        <f t="shared" si="4"/>
        <v>0</v>
      </c>
    </row>
    <row r="111">
      <c r="A111" s="2" t="s">
        <v>154</v>
      </c>
      <c r="B111" s="2" t="s">
        <v>1205</v>
      </c>
      <c r="C111" s="8">
        <v>11663.59</v>
      </c>
      <c r="D111" s="8">
        <v>0.06</v>
      </c>
      <c r="E111" s="2">
        <f t="shared" si="1"/>
        <v>699.82</v>
      </c>
      <c r="F111" s="2" t="s">
        <v>1206</v>
      </c>
      <c r="G111" s="2">
        <f t="shared" si="2"/>
        <v>699.82</v>
      </c>
      <c r="H111" s="2" t="str">
        <f t="shared" si="3"/>
        <v>OK</v>
      </c>
      <c r="I111" s="2">
        <f t="array" ref="I111">IFERROR(XLOOKUP(XLOOKUP(A111, AP_Subledger!A:A, AP_Subledger!H:H), Tax_Rates_Reference!A:A, Tax_Rates_Reference!C:C), "")
</f>
        <v>0.06</v>
      </c>
      <c r="J111" s="2" t="b">
        <f t="shared" si="4"/>
        <v>1</v>
      </c>
    </row>
    <row r="112">
      <c r="A112" s="2" t="s">
        <v>155</v>
      </c>
      <c r="B112" s="2" t="s">
        <v>1205</v>
      </c>
      <c r="C112" s="8">
        <v>11860.61</v>
      </c>
      <c r="D112" s="8">
        <v>0.065</v>
      </c>
      <c r="E112" s="2">
        <f t="shared" si="1"/>
        <v>770.94</v>
      </c>
      <c r="F112" s="2" t="s">
        <v>1206</v>
      </c>
      <c r="G112" s="2">
        <f t="shared" si="2"/>
        <v>770.94</v>
      </c>
      <c r="H112" s="2" t="str">
        <f t="shared" si="3"/>
        <v>OK</v>
      </c>
      <c r="I112" s="2">
        <f t="array" ref="I112">IFERROR(XLOOKUP(XLOOKUP(A112, AP_Subledger!A:A, AP_Subledger!H:H), Tax_Rates_Reference!A:A, Tax_Rates_Reference!C:C), "")
</f>
        <v>0.065</v>
      </c>
      <c r="J112" s="2" t="b">
        <f t="shared" si="4"/>
        <v>1</v>
      </c>
    </row>
    <row r="113">
      <c r="A113" s="2" t="s">
        <v>156</v>
      </c>
      <c r="B113" s="2" t="s">
        <v>1205</v>
      </c>
      <c r="C113" s="8">
        <v>24372.67</v>
      </c>
      <c r="D113" s="8">
        <v>0.065</v>
      </c>
      <c r="E113" s="2">
        <f t="shared" si="1"/>
        <v>1584.22</v>
      </c>
      <c r="F113" s="2" t="s">
        <v>1206</v>
      </c>
      <c r="G113" s="2">
        <f t="shared" si="2"/>
        <v>1584.22</v>
      </c>
      <c r="H113" s="2" t="str">
        <f t="shared" si="3"/>
        <v>OK</v>
      </c>
      <c r="I113" s="2">
        <f t="array" ref="I113">IFERROR(XLOOKUP(XLOOKUP(A113, AP_Subledger!A:A, AP_Subledger!H:H), Tax_Rates_Reference!A:A, Tax_Rates_Reference!C:C), "")
</f>
        <v>0.065</v>
      </c>
      <c r="J113" s="2" t="b">
        <f t="shared" si="4"/>
        <v>1</v>
      </c>
    </row>
    <row r="114">
      <c r="A114" s="2" t="s">
        <v>157</v>
      </c>
      <c r="B114" s="2" t="s">
        <v>1205</v>
      </c>
      <c r="C114" s="8">
        <v>10574.56</v>
      </c>
      <c r="D114" s="8">
        <v>0.07</v>
      </c>
      <c r="E114" s="2">
        <f t="shared" si="1"/>
        <v>740.22</v>
      </c>
      <c r="F114" s="2" t="s">
        <v>1206</v>
      </c>
      <c r="G114" s="2">
        <f t="shared" si="2"/>
        <v>740.22</v>
      </c>
      <c r="H114" s="2" t="str">
        <f t="shared" si="3"/>
        <v>OK</v>
      </c>
      <c r="I114" s="2">
        <f t="array" ref="I114">IFERROR(XLOOKUP(XLOOKUP(A114, AP_Subledger!A:A, AP_Subledger!H:H), Tax_Rates_Reference!A:A, Tax_Rates_Reference!C:C), "")
</f>
        <v>0.07</v>
      </c>
      <c r="J114" s="2" t="b">
        <f t="shared" si="4"/>
        <v>1</v>
      </c>
    </row>
    <row r="115">
      <c r="A115" s="2" t="s">
        <v>158</v>
      </c>
      <c r="B115" s="2" t="s">
        <v>1205</v>
      </c>
      <c r="C115" s="8">
        <v>23543.03</v>
      </c>
      <c r="D115" s="8">
        <v>0.095</v>
      </c>
      <c r="E115" s="2">
        <f t="shared" si="1"/>
        <v>2236.59</v>
      </c>
      <c r="F115" s="2" t="s">
        <v>1206</v>
      </c>
      <c r="G115" s="2">
        <f t="shared" si="2"/>
        <v>2236.59</v>
      </c>
      <c r="H115" s="2" t="str">
        <f t="shared" si="3"/>
        <v>OK</v>
      </c>
      <c r="I115" s="2">
        <f t="array" ref="I115">IFERROR(XLOOKUP(XLOOKUP(A115, AP_Subledger!A:A, AP_Subledger!H:H), Tax_Rates_Reference!A:A, Tax_Rates_Reference!C:C), "")
</f>
        <v>0.075</v>
      </c>
      <c r="J115" s="2" t="b">
        <f t="shared" si="4"/>
        <v>0</v>
      </c>
    </row>
    <row r="116">
      <c r="A116" s="2" t="s">
        <v>159</v>
      </c>
      <c r="B116" s="2" t="s">
        <v>1205</v>
      </c>
      <c r="C116" s="8">
        <v>21718.57</v>
      </c>
      <c r="D116" s="8">
        <v>0.07</v>
      </c>
      <c r="E116" s="2">
        <f t="shared" si="1"/>
        <v>1520.3</v>
      </c>
      <c r="F116" s="2" t="s">
        <v>1206</v>
      </c>
      <c r="G116" s="2">
        <f t="shared" si="2"/>
        <v>1520.3</v>
      </c>
      <c r="H116" s="2" t="str">
        <f t="shared" si="3"/>
        <v>OK</v>
      </c>
      <c r="I116" s="2">
        <f t="array" ref="I116">IFERROR(XLOOKUP(XLOOKUP(A116, AP_Subledger!A:A, AP_Subledger!H:H), Tax_Rates_Reference!A:A, Tax_Rates_Reference!C:C), "")
</f>
        <v>0.07</v>
      </c>
      <c r="J116" s="2" t="b">
        <f t="shared" si="4"/>
        <v>1</v>
      </c>
    </row>
    <row r="117">
      <c r="A117" s="2" t="s">
        <v>160</v>
      </c>
      <c r="B117" s="2" t="s">
        <v>1205</v>
      </c>
      <c r="C117" s="8">
        <v>24639.51</v>
      </c>
      <c r="D117" s="8">
        <v>0.07</v>
      </c>
      <c r="E117" s="2">
        <f t="shared" si="1"/>
        <v>3449.53</v>
      </c>
      <c r="F117" s="2" t="s">
        <v>1206</v>
      </c>
      <c r="G117" s="2">
        <f t="shared" si="2"/>
        <v>1724.77</v>
      </c>
      <c r="H117" s="2" t="str">
        <f t="shared" si="3"/>
        <v>Mismatch</v>
      </c>
      <c r="I117" s="2">
        <f t="array" ref="I117">IFERROR(XLOOKUP(XLOOKUP(A117, AP_Subledger!A:A, AP_Subledger!H:H), Tax_Rates_Reference!A:A, Tax_Rates_Reference!C:C), "")
</f>
        <v>0.07</v>
      </c>
      <c r="J117" s="2" t="b">
        <f t="shared" si="4"/>
        <v>1</v>
      </c>
    </row>
    <row r="118">
      <c r="A118" s="2" t="s">
        <v>161</v>
      </c>
      <c r="B118" s="2" t="s">
        <v>1205</v>
      </c>
      <c r="C118" s="8">
        <v>20814.52</v>
      </c>
      <c r="D118" s="8">
        <v>0.065</v>
      </c>
      <c r="E118" s="2">
        <f t="shared" si="1"/>
        <v>1352.94</v>
      </c>
      <c r="F118" s="2" t="s">
        <v>1206</v>
      </c>
      <c r="G118" s="2">
        <f t="shared" si="2"/>
        <v>1352.94</v>
      </c>
      <c r="H118" s="2" t="str">
        <f t="shared" si="3"/>
        <v>OK</v>
      </c>
      <c r="I118" s="2">
        <f t="array" ref="I118">IFERROR(XLOOKUP(XLOOKUP(A118, AP_Subledger!A:A, AP_Subledger!H:H), Tax_Rates_Reference!A:A, Tax_Rates_Reference!C:C), "")
</f>
        <v>0.065</v>
      </c>
      <c r="J118" s="2" t="b">
        <f t="shared" si="4"/>
        <v>1</v>
      </c>
    </row>
    <row r="119">
      <c r="A119" s="2" t="s">
        <v>162</v>
      </c>
      <c r="B119" s="2" t="s">
        <v>1205</v>
      </c>
      <c r="C119" s="8">
        <v>3779.38</v>
      </c>
      <c r="D119" s="8">
        <v>0.075</v>
      </c>
      <c r="E119" s="2">
        <f t="shared" si="1"/>
        <v>283.45</v>
      </c>
      <c r="F119" s="2" t="s">
        <v>1206</v>
      </c>
      <c r="G119" s="2">
        <f t="shared" si="2"/>
        <v>283.45</v>
      </c>
      <c r="H119" s="2" t="str">
        <f t="shared" si="3"/>
        <v>OK</v>
      </c>
      <c r="I119" s="2">
        <f t="array" ref="I119">IFERROR(XLOOKUP(XLOOKUP(A119, AP_Subledger!A:A, AP_Subledger!H:H), Tax_Rates_Reference!A:A, Tax_Rates_Reference!C:C), "")
</f>
        <v>0.075</v>
      </c>
      <c r="J119" s="2" t="b">
        <f t="shared" si="4"/>
        <v>1</v>
      </c>
    </row>
    <row r="120">
      <c r="A120" s="2" t="s">
        <v>163</v>
      </c>
      <c r="B120" s="2" t="s">
        <v>1205</v>
      </c>
      <c r="C120" s="8">
        <v>13591.48</v>
      </c>
      <c r="D120" s="8">
        <v>0.075</v>
      </c>
      <c r="E120" s="2">
        <f t="shared" si="1"/>
        <v>1019.36</v>
      </c>
      <c r="F120" s="2" t="s">
        <v>1206</v>
      </c>
      <c r="G120" s="2">
        <f t="shared" si="2"/>
        <v>1019.36</v>
      </c>
      <c r="H120" s="2" t="str">
        <f t="shared" si="3"/>
        <v>OK</v>
      </c>
      <c r="I120" s="2">
        <f t="array" ref="I120">IFERROR(XLOOKUP(XLOOKUP(A120, AP_Subledger!A:A, AP_Subledger!H:H), Tax_Rates_Reference!A:A, Tax_Rates_Reference!C:C), "")
</f>
        <v>0.075</v>
      </c>
      <c r="J120" s="2" t="b">
        <f t="shared" si="4"/>
        <v>1</v>
      </c>
    </row>
    <row r="121">
      <c r="A121" s="2" t="s">
        <v>164</v>
      </c>
      <c r="B121" s="2" t="s">
        <v>1205</v>
      </c>
      <c r="C121" s="8">
        <v>23646.76</v>
      </c>
      <c r="D121" s="8">
        <v>0.07</v>
      </c>
      <c r="E121" s="2">
        <f t="shared" si="1"/>
        <v>1655.27</v>
      </c>
      <c r="F121" s="2" t="s">
        <v>1206</v>
      </c>
      <c r="G121" s="2">
        <f t="shared" si="2"/>
        <v>1655.27</v>
      </c>
      <c r="H121" s="2" t="str">
        <f t="shared" si="3"/>
        <v>OK</v>
      </c>
      <c r="I121" s="2">
        <f t="array" ref="I121">IFERROR(XLOOKUP(XLOOKUP(A121, AP_Subledger!A:A, AP_Subledger!H:H), Tax_Rates_Reference!A:A, Tax_Rates_Reference!C:C), "")
</f>
        <v>0.07</v>
      </c>
      <c r="J121" s="2" t="b">
        <f t="shared" si="4"/>
        <v>1</v>
      </c>
    </row>
    <row r="122">
      <c r="A122" s="2" t="s">
        <v>165</v>
      </c>
      <c r="B122" s="2" t="s">
        <v>1205</v>
      </c>
      <c r="C122" s="8">
        <v>3664.41</v>
      </c>
      <c r="D122" s="8">
        <v>0.06</v>
      </c>
      <c r="E122" s="2">
        <f t="shared" si="1"/>
        <v>219.86</v>
      </c>
      <c r="F122" s="2" t="s">
        <v>1206</v>
      </c>
      <c r="G122" s="2">
        <f t="shared" si="2"/>
        <v>219.86</v>
      </c>
      <c r="H122" s="2" t="str">
        <f t="shared" si="3"/>
        <v>OK</v>
      </c>
      <c r="I122" s="2">
        <f t="array" ref="I122">IFERROR(XLOOKUP(XLOOKUP(A122, AP_Subledger!A:A, AP_Subledger!H:H), Tax_Rates_Reference!A:A, Tax_Rates_Reference!C:C), "")
</f>
        <v>0.06</v>
      </c>
      <c r="J122" s="2" t="b">
        <f t="shared" si="4"/>
        <v>1</v>
      </c>
    </row>
    <row r="123">
      <c r="A123" s="2" t="s">
        <v>166</v>
      </c>
      <c r="B123" s="2" t="s">
        <v>1205</v>
      </c>
      <c r="C123" s="8">
        <v>22016.41</v>
      </c>
      <c r="D123" s="8">
        <v>0.06</v>
      </c>
      <c r="E123" s="2">
        <f t="shared" si="1"/>
        <v>1320.98</v>
      </c>
      <c r="F123" s="2" t="s">
        <v>1206</v>
      </c>
      <c r="G123" s="2">
        <f t="shared" si="2"/>
        <v>1320.98</v>
      </c>
      <c r="H123" s="2" t="str">
        <f t="shared" si="3"/>
        <v>OK</v>
      </c>
      <c r="I123" s="2">
        <f t="array" ref="I123">IFERROR(XLOOKUP(XLOOKUP(A123, AP_Subledger!A:A, AP_Subledger!H:H), Tax_Rates_Reference!A:A, Tax_Rates_Reference!C:C), "")
</f>
        <v>0.06</v>
      </c>
      <c r="J123" s="2" t="b">
        <f t="shared" si="4"/>
        <v>1</v>
      </c>
    </row>
    <row r="124">
      <c r="A124" s="2" t="s">
        <v>167</v>
      </c>
      <c r="B124" s="2" t="s">
        <v>1205</v>
      </c>
      <c r="C124" s="8">
        <v>1043.53</v>
      </c>
      <c r="D124" s="8">
        <v>0.075</v>
      </c>
      <c r="E124" s="2">
        <f t="shared" si="1"/>
        <v>78.26</v>
      </c>
      <c r="F124" s="2" t="s">
        <v>1206</v>
      </c>
      <c r="G124" s="2">
        <f t="shared" si="2"/>
        <v>78.26</v>
      </c>
      <c r="H124" s="2" t="str">
        <f t="shared" si="3"/>
        <v>OK</v>
      </c>
      <c r="I124" s="2">
        <f t="array" ref="I124">IFERROR(XLOOKUP(XLOOKUP(A124, AP_Subledger!A:A, AP_Subledger!H:H), Tax_Rates_Reference!A:A, Tax_Rates_Reference!C:C), "")
</f>
        <v>0.075</v>
      </c>
      <c r="J124" s="2" t="b">
        <f t="shared" si="4"/>
        <v>1</v>
      </c>
    </row>
    <row r="125">
      <c r="A125" s="2" t="s">
        <v>168</v>
      </c>
      <c r="B125" s="2" t="s">
        <v>1205</v>
      </c>
      <c r="C125" s="8">
        <v>8040.54</v>
      </c>
      <c r="D125" s="8">
        <v>0.065</v>
      </c>
      <c r="E125" s="2">
        <f t="shared" si="1"/>
        <v>522.64</v>
      </c>
      <c r="F125" s="2" t="s">
        <v>1206</v>
      </c>
      <c r="G125" s="2">
        <f t="shared" si="2"/>
        <v>522.64</v>
      </c>
      <c r="H125" s="2" t="str">
        <f t="shared" si="3"/>
        <v>OK</v>
      </c>
      <c r="I125" s="2">
        <f t="array" ref="I125">IFERROR(XLOOKUP(XLOOKUP(A125, AP_Subledger!A:A, AP_Subledger!H:H), Tax_Rates_Reference!A:A, Tax_Rates_Reference!C:C), "")
</f>
        <v>0.065</v>
      </c>
      <c r="J125" s="2" t="b">
        <f t="shared" si="4"/>
        <v>1</v>
      </c>
    </row>
    <row r="126">
      <c r="A126" s="2" t="s">
        <v>169</v>
      </c>
      <c r="B126" s="2" t="s">
        <v>1205</v>
      </c>
      <c r="C126" s="8">
        <v>14953.92</v>
      </c>
      <c r="D126" s="8">
        <v>0.075</v>
      </c>
      <c r="E126" s="2">
        <f t="shared" si="1"/>
        <v>1121.54</v>
      </c>
      <c r="F126" s="2" t="s">
        <v>1206</v>
      </c>
      <c r="G126" s="2">
        <f t="shared" si="2"/>
        <v>1121.54</v>
      </c>
      <c r="H126" s="2" t="str">
        <f t="shared" si="3"/>
        <v>OK</v>
      </c>
      <c r="I126" s="2">
        <f t="array" ref="I126">IFERROR(XLOOKUP(XLOOKUP(A126, AP_Subledger!A:A, AP_Subledger!H:H), Tax_Rates_Reference!A:A, Tax_Rates_Reference!C:C), "")
</f>
        <v>0.075</v>
      </c>
      <c r="J126" s="2" t="b">
        <f t="shared" si="4"/>
        <v>1</v>
      </c>
    </row>
    <row r="127">
      <c r="A127" s="2" t="s">
        <v>170</v>
      </c>
      <c r="B127" s="2" t="s">
        <v>1205</v>
      </c>
      <c r="C127" s="8">
        <v>16164.35</v>
      </c>
      <c r="D127" s="8">
        <v>0.075</v>
      </c>
      <c r="E127" s="2">
        <f t="shared" si="1"/>
        <v>1212.33</v>
      </c>
      <c r="F127" s="2" t="s">
        <v>1206</v>
      </c>
      <c r="G127" s="2">
        <f t="shared" si="2"/>
        <v>1212.33</v>
      </c>
      <c r="H127" s="2" t="str">
        <f t="shared" si="3"/>
        <v>OK</v>
      </c>
      <c r="I127" s="2">
        <f t="array" ref="I127">IFERROR(XLOOKUP(XLOOKUP(A127, AP_Subledger!A:A, AP_Subledger!H:H), Tax_Rates_Reference!A:A, Tax_Rates_Reference!C:C), "")
</f>
        <v>0.075</v>
      </c>
      <c r="J127" s="2" t="b">
        <f t="shared" si="4"/>
        <v>1</v>
      </c>
    </row>
    <row r="128">
      <c r="A128" s="2" t="s">
        <v>171</v>
      </c>
      <c r="B128" s="2" t="s">
        <v>1205</v>
      </c>
      <c r="C128" s="8">
        <v>9089.4</v>
      </c>
      <c r="D128" s="8">
        <v>0.065</v>
      </c>
      <c r="E128" s="2">
        <f t="shared" si="1"/>
        <v>590.81</v>
      </c>
      <c r="F128" s="2" t="s">
        <v>1206</v>
      </c>
      <c r="G128" s="2">
        <f t="shared" si="2"/>
        <v>590.81</v>
      </c>
      <c r="H128" s="2" t="str">
        <f t="shared" si="3"/>
        <v>OK</v>
      </c>
      <c r="I128" s="2">
        <f t="array" ref="I128">IFERROR(XLOOKUP(XLOOKUP(A128, AP_Subledger!A:A, AP_Subledger!H:H), Tax_Rates_Reference!A:A, Tax_Rates_Reference!C:C), "")
</f>
        <v>0.065</v>
      </c>
      <c r="J128" s="2" t="b">
        <f t="shared" si="4"/>
        <v>1</v>
      </c>
    </row>
    <row r="129">
      <c r="A129" s="2" t="s">
        <v>172</v>
      </c>
      <c r="B129" s="2" t="s">
        <v>1205</v>
      </c>
      <c r="C129" s="8">
        <v>22651.89</v>
      </c>
      <c r="D129" s="8">
        <v>0.08</v>
      </c>
      <c r="E129" s="2">
        <f t="shared" si="1"/>
        <v>1812.15</v>
      </c>
      <c r="F129" s="2" t="s">
        <v>1206</v>
      </c>
      <c r="G129" s="2">
        <f t="shared" si="2"/>
        <v>1812.15</v>
      </c>
      <c r="H129" s="2" t="str">
        <f t="shared" si="3"/>
        <v>OK</v>
      </c>
      <c r="I129" s="2">
        <f t="array" ref="I129">IFERROR(XLOOKUP(XLOOKUP(A129, AP_Subledger!A:A, AP_Subledger!H:H), Tax_Rates_Reference!A:A, Tax_Rates_Reference!C:C), "")
</f>
        <v>0.06</v>
      </c>
      <c r="J129" s="2" t="b">
        <f t="shared" si="4"/>
        <v>0</v>
      </c>
    </row>
    <row r="130">
      <c r="A130" s="2" t="s">
        <v>173</v>
      </c>
      <c r="B130" s="2" t="s">
        <v>1205</v>
      </c>
      <c r="C130" s="8">
        <v>15741.12</v>
      </c>
      <c r="D130" s="8">
        <v>0.05</v>
      </c>
      <c r="E130" s="2">
        <f t="shared" si="1"/>
        <v>787.06</v>
      </c>
      <c r="F130" s="2" t="s">
        <v>1206</v>
      </c>
      <c r="G130" s="2">
        <f t="shared" si="2"/>
        <v>787.06</v>
      </c>
      <c r="H130" s="2" t="str">
        <f t="shared" si="3"/>
        <v>OK</v>
      </c>
      <c r="I130" s="2">
        <f t="array" ref="I130">IFERROR(XLOOKUP(XLOOKUP(A130, AP_Subledger!A:A, AP_Subledger!H:H), Tax_Rates_Reference!A:A, Tax_Rates_Reference!C:C), "")
</f>
        <v>0.07</v>
      </c>
      <c r="J130" s="2" t="b">
        <f t="shared" si="4"/>
        <v>0</v>
      </c>
    </row>
    <row r="131">
      <c r="A131" s="2" t="s">
        <v>174</v>
      </c>
      <c r="B131" s="2" t="s">
        <v>1205</v>
      </c>
      <c r="C131" s="8">
        <v>11754.0</v>
      </c>
      <c r="D131" s="8">
        <v>0.06</v>
      </c>
      <c r="E131" s="2">
        <f t="shared" si="1"/>
        <v>705.24</v>
      </c>
      <c r="F131" s="2" t="s">
        <v>1206</v>
      </c>
      <c r="G131" s="2">
        <f t="shared" si="2"/>
        <v>705.24</v>
      </c>
      <c r="H131" s="2" t="str">
        <f t="shared" si="3"/>
        <v>OK</v>
      </c>
      <c r="I131" s="2">
        <f t="array" ref="I131">IFERROR(XLOOKUP(XLOOKUP(A131, AP_Subledger!A:A, AP_Subledger!H:H), Tax_Rates_Reference!A:A, Tax_Rates_Reference!C:C), "")
</f>
        <v>0.06</v>
      </c>
      <c r="J131" s="2" t="b">
        <f t="shared" si="4"/>
        <v>1</v>
      </c>
    </row>
    <row r="132">
      <c r="A132" s="2" t="s">
        <v>175</v>
      </c>
      <c r="B132" s="2" t="s">
        <v>1205</v>
      </c>
      <c r="C132" s="8">
        <v>24510.8</v>
      </c>
      <c r="D132" s="8">
        <v>0.065</v>
      </c>
      <c r="E132" s="2">
        <f t="shared" si="1"/>
        <v>1593.2</v>
      </c>
      <c r="F132" s="2" t="s">
        <v>1206</v>
      </c>
      <c r="G132" s="2">
        <f t="shared" si="2"/>
        <v>1593.2</v>
      </c>
      <c r="H132" s="2" t="str">
        <f t="shared" si="3"/>
        <v>OK</v>
      </c>
      <c r="I132" s="2">
        <f t="array" ref="I132">IFERROR(XLOOKUP(XLOOKUP(A132, AP_Subledger!A:A, AP_Subledger!H:H), Tax_Rates_Reference!A:A, Tax_Rates_Reference!C:C), "")
</f>
        <v>0.065</v>
      </c>
      <c r="J132" s="2" t="b">
        <f t="shared" si="4"/>
        <v>1</v>
      </c>
    </row>
    <row r="133">
      <c r="A133" s="2" t="s">
        <v>176</v>
      </c>
      <c r="B133" s="2" t="s">
        <v>1205</v>
      </c>
      <c r="C133" s="8">
        <v>13662.95</v>
      </c>
      <c r="D133" s="8">
        <v>0.05</v>
      </c>
      <c r="E133" s="2">
        <f t="shared" si="1"/>
        <v>683.15</v>
      </c>
      <c r="F133" s="2" t="s">
        <v>1206</v>
      </c>
      <c r="G133" s="2">
        <f t="shared" si="2"/>
        <v>683.15</v>
      </c>
      <c r="H133" s="2" t="str">
        <f t="shared" si="3"/>
        <v>OK</v>
      </c>
      <c r="I133" s="2">
        <f t="array" ref="I133">IFERROR(XLOOKUP(XLOOKUP(A133, AP_Subledger!A:A, AP_Subledger!H:H), Tax_Rates_Reference!A:A, Tax_Rates_Reference!C:C), "")
</f>
        <v>0.07</v>
      </c>
      <c r="J133" s="2" t="b">
        <f t="shared" si="4"/>
        <v>0</v>
      </c>
    </row>
    <row r="134">
      <c r="A134" s="2" t="s">
        <v>177</v>
      </c>
      <c r="B134" s="2" t="s">
        <v>1205</v>
      </c>
      <c r="C134" s="8">
        <v>17564.29</v>
      </c>
      <c r="D134" s="8">
        <v>0.06</v>
      </c>
      <c r="E134" s="2">
        <f t="shared" si="1"/>
        <v>878.21</v>
      </c>
      <c r="F134" s="2" t="s">
        <v>1206</v>
      </c>
      <c r="G134" s="2">
        <f t="shared" si="2"/>
        <v>1053.86</v>
      </c>
      <c r="H134" s="2" t="str">
        <f t="shared" si="3"/>
        <v>Mismatch</v>
      </c>
      <c r="I134" s="2">
        <f t="array" ref="I134">IFERROR(XLOOKUP(XLOOKUP(A134, AP_Subledger!A:A, AP_Subledger!H:H), Tax_Rates_Reference!A:A, Tax_Rates_Reference!C:C), "")
</f>
        <v>0.06</v>
      </c>
      <c r="J134" s="2" t="b">
        <f t="shared" si="4"/>
        <v>1</v>
      </c>
    </row>
    <row r="135">
      <c r="A135" s="2" t="s">
        <v>178</v>
      </c>
      <c r="B135" s="2" t="s">
        <v>1205</v>
      </c>
      <c r="C135" s="8">
        <v>15247.42</v>
      </c>
      <c r="D135" s="8">
        <v>0.065</v>
      </c>
      <c r="E135" s="2">
        <f t="shared" si="1"/>
        <v>1982.16</v>
      </c>
      <c r="F135" s="2" t="s">
        <v>1206</v>
      </c>
      <c r="G135" s="2">
        <f t="shared" si="2"/>
        <v>991.08</v>
      </c>
      <c r="H135" s="2" t="str">
        <f t="shared" si="3"/>
        <v>Mismatch</v>
      </c>
      <c r="I135" s="2">
        <f t="array" ref="I135">IFERROR(XLOOKUP(XLOOKUP(A135, AP_Subledger!A:A, AP_Subledger!H:H), Tax_Rates_Reference!A:A, Tax_Rates_Reference!C:C), "")
</f>
        <v>0.065</v>
      </c>
      <c r="J135" s="2" t="b">
        <f t="shared" si="4"/>
        <v>1</v>
      </c>
    </row>
    <row r="136">
      <c r="A136" s="2" t="s">
        <v>179</v>
      </c>
      <c r="B136" s="2" t="s">
        <v>1205</v>
      </c>
      <c r="C136" s="8">
        <v>9016.67</v>
      </c>
      <c r="D136" s="8">
        <v>0.075</v>
      </c>
      <c r="E136" s="2">
        <f t="shared" si="1"/>
        <v>676.25</v>
      </c>
      <c r="F136" s="2" t="s">
        <v>1206</v>
      </c>
      <c r="G136" s="2">
        <f t="shared" si="2"/>
        <v>676.25</v>
      </c>
      <c r="H136" s="2" t="str">
        <f t="shared" si="3"/>
        <v>OK</v>
      </c>
      <c r="I136" s="2">
        <f t="array" ref="I136">IFERROR(XLOOKUP(XLOOKUP(A136, AP_Subledger!A:A, AP_Subledger!H:H), Tax_Rates_Reference!A:A, Tax_Rates_Reference!C:C), "")
</f>
        <v>0.075</v>
      </c>
      <c r="J136" s="2" t="b">
        <f t="shared" si="4"/>
        <v>1</v>
      </c>
    </row>
    <row r="137">
      <c r="A137" s="2" t="s">
        <v>180</v>
      </c>
      <c r="B137" s="2" t="s">
        <v>1205</v>
      </c>
      <c r="C137" s="8">
        <v>5555.18</v>
      </c>
      <c r="D137" s="8">
        <v>0.06</v>
      </c>
      <c r="E137" s="2">
        <f t="shared" si="1"/>
        <v>333.31</v>
      </c>
      <c r="F137" s="2" t="s">
        <v>1206</v>
      </c>
      <c r="G137" s="2">
        <f t="shared" si="2"/>
        <v>333.31</v>
      </c>
      <c r="H137" s="2" t="str">
        <f t="shared" si="3"/>
        <v>OK</v>
      </c>
      <c r="I137" s="2">
        <f t="array" ref="I137">IFERROR(XLOOKUP(XLOOKUP(A137, AP_Subledger!A:A, AP_Subledger!H:H), Tax_Rates_Reference!A:A, Tax_Rates_Reference!C:C), "")
</f>
        <v>0.06</v>
      </c>
      <c r="J137" s="2" t="b">
        <f t="shared" si="4"/>
        <v>1</v>
      </c>
    </row>
    <row r="138">
      <c r="A138" s="2" t="s">
        <v>181</v>
      </c>
      <c r="B138" s="2" t="s">
        <v>1205</v>
      </c>
      <c r="C138" s="8">
        <v>12288.06</v>
      </c>
      <c r="D138" s="8">
        <v>0.06</v>
      </c>
      <c r="E138" s="2">
        <f t="shared" si="1"/>
        <v>737.28</v>
      </c>
      <c r="F138" s="2" t="s">
        <v>1206</v>
      </c>
      <c r="G138" s="2">
        <f t="shared" si="2"/>
        <v>737.28</v>
      </c>
      <c r="H138" s="2" t="str">
        <f t="shared" si="3"/>
        <v>OK</v>
      </c>
      <c r="I138" s="2">
        <f t="array" ref="I138">IFERROR(XLOOKUP(XLOOKUP(A138, AP_Subledger!A:A, AP_Subledger!H:H), Tax_Rates_Reference!A:A, Tax_Rates_Reference!C:C), "")
</f>
        <v>0.06</v>
      </c>
      <c r="J138" s="2" t="b">
        <f t="shared" si="4"/>
        <v>1</v>
      </c>
    </row>
    <row r="139">
      <c r="A139" s="2" t="s">
        <v>182</v>
      </c>
      <c r="B139" s="2" t="s">
        <v>1205</v>
      </c>
      <c r="C139" s="8">
        <v>9743.51</v>
      </c>
      <c r="D139" s="8">
        <v>0.06</v>
      </c>
      <c r="E139" s="2">
        <f t="shared" si="1"/>
        <v>682.05</v>
      </c>
      <c r="F139" s="2" t="s">
        <v>1206</v>
      </c>
      <c r="G139" s="2">
        <f t="shared" si="2"/>
        <v>584.61</v>
      </c>
      <c r="H139" s="2" t="str">
        <f t="shared" si="3"/>
        <v>Mismatch</v>
      </c>
      <c r="I139" s="2">
        <f t="array" ref="I139">IFERROR(XLOOKUP(XLOOKUP(A139, AP_Subledger!A:A, AP_Subledger!H:H), Tax_Rates_Reference!A:A, Tax_Rates_Reference!C:C), "")
</f>
        <v>0.06</v>
      </c>
      <c r="J139" s="2" t="b">
        <f t="shared" si="4"/>
        <v>1</v>
      </c>
    </row>
    <row r="140">
      <c r="A140" s="2" t="s">
        <v>183</v>
      </c>
      <c r="B140" s="2" t="s">
        <v>1205</v>
      </c>
      <c r="C140" s="8">
        <v>15133.31</v>
      </c>
      <c r="D140" s="8">
        <v>0.04</v>
      </c>
      <c r="E140" s="2">
        <f t="shared" si="1"/>
        <v>605.33</v>
      </c>
      <c r="F140" s="2" t="s">
        <v>1206</v>
      </c>
      <c r="G140" s="2">
        <f t="shared" si="2"/>
        <v>605.33</v>
      </c>
      <c r="H140" s="2" t="str">
        <f t="shared" si="3"/>
        <v>OK</v>
      </c>
      <c r="I140" s="2">
        <f t="array" ref="I140">IFERROR(XLOOKUP(XLOOKUP(A140, AP_Subledger!A:A, AP_Subledger!H:H), Tax_Rates_Reference!A:A, Tax_Rates_Reference!C:C), "")
</f>
        <v>0.06</v>
      </c>
      <c r="J140" s="2" t="b">
        <f t="shared" si="4"/>
        <v>0</v>
      </c>
    </row>
    <row r="141">
      <c r="A141" s="2" t="s">
        <v>184</v>
      </c>
      <c r="B141" s="2" t="s">
        <v>1205</v>
      </c>
      <c r="C141" s="8">
        <v>12370.81</v>
      </c>
      <c r="D141" s="8">
        <v>0.065</v>
      </c>
      <c r="E141" s="2">
        <f t="shared" si="1"/>
        <v>804.1</v>
      </c>
      <c r="F141" s="2" t="s">
        <v>1206</v>
      </c>
      <c r="G141" s="2">
        <f t="shared" si="2"/>
        <v>804.1</v>
      </c>
      <c r="H141" s="2" t="str">
        <f t="shared" si="3"/>
        <v>OK</v>
      </c>
      <c r="I141" s="2">
        <f t="array" ref="I141">IFERROR(XLOOKUP(XLOOKUP(A141, AP_Subledger!A:A, AP_Subledger!H:H), Tax_Rates_Reference!A:A, Tax_Rates_Reference!C:C), "")
</f>
        <v>0.065</v>
      </c>
      <c r="J141" s="2" t="b">
        <f t="shared" si="4"/>
        <v>1</v>
      </c>
    </row>
    <row r="142">
      <c r="A142" s="2" t="s">
        <v>185</v>
      </c>
      <c r="B142" s="2" t="s">
        <v>1205</v>
      </c>
      <c r="C142" s="8">
        <v>4119.61</v>
      </c>
      <c r="D142" s="8">
        <v>0.065</v>
      </c>
      <c r="E142" s="2">
        <f t="shared" si="1"/>
        <v>267.77</v>
      </c>
      <c r="F142" s="2" t="s">
        <v>1206</v>
      </c>
      <c r="G142" s="2">
        <f t="shared" si="2"/>
        <v>267.77</v>
      </c>
      <c r="H142" s="2" t="str">
        <f t="shared" si="3"/>
        <v>OK</v>
      </c>
      <c r="I142" s="2">
        <f t="array" ref="I142">IFERROR(XLOOKUP(XLOOKUP(A142, AP_Subledger!A:A, AP_Subledger!H:H), Tax_Rates_Reference!A:A, Tax_Rates_Reference!C:C), "")
</f>
        <v>0.065</v>
      </c>
      <c r="J142" s="2" t="b">
        <f t="shared" si="4"/>
        <v>1</v>
      </c>
    </row>
    <row r="143">
      <c r="A143" s="2" t="s">
        <v>186</v>
      </c>
      <c r="B143" s="2" t="s">
        <v>1205</v>
      </c>
      <c r="C143" s="8">
        <v>18865.6</v>
      </c>
      <c r="D143" s="8">
        <v>0.075</v>
      </c>
      <c r="E143" s="2">
        <f t="shared" si="1"/>
        <v>1414.92</v>
      </c>
      <c r="F143" s="2" t="s">
        <v>1206</v>
      </c>
      <c r="G143" s="2">
        <f t="shared" si="2"/>
        <v>1414.92</v>
      </c>
      <c r="H143" s="2" t="str">
        <f t="shared" si="3"/>
        <v>OK</v>
      </c>
      <c r="I143" s="2">
        <f t="array" ref="I143">IFERROR(XLOOKUP(XLOOKUP(A143, AP_Subledger!A:A, AP_Subledger!H:H), Tax_Rates_Reference!A:A, Tax_Rates_Reference!C:C), "")
</f>
        <v>0.075</v>
      </c>
      <c r="J143" s="2" t="b">
        <f t="shared" si="4"/>
        <v>1</v>
      </c>
    </row>
    <row r="144">
      <c r="A144" s="2" t="s">
        <v>187</v>
      </c>
      <c r="B144" s="2" t="s">
        <v>1205</v>
      </c>
      <c r="C144" s="8">
        <v>6440.53</v>
      </c>
      <c r="D144" s="8">
        <v>0.06</v>
      </c>
      <c r="E144" s="2">
        <f t="shared" si="1"/>
        <v>386.43</v>
      </c>
      <c r="F144" s="2" t="s">
        <v>1206</v>
      </c>
      <c r="G144" s="2">
        <f t="shared" si="2"/>
        <v>386.43</v>
      </c>
      <c r="H144" s="2" t="str">
        <f t="shared" si="3"/>
        <v>OK</v>
      </c>
      <c r="I144" s="2">
        <f t="array" ref="I144">IFERROR(XLOOKUP(XLOOKUP(A144, AP_Subledger!A:A, AP_Subledger!H:H), Tax_Rates_Reference!A:A, Tax_Rates_Reference!C:C), "")
</f>
        <v>0.06</v>
      </c>
      <c r="J144" s="2" t="b">
        <f t="shared" si="4"/>
        <v>1</v>
      </c>
    </row>
    <row r="145">
      <c r="A145" s="2" t="s">
        <v>188</v>
      </c>
      <c r="B145" s="2" t="s">
        <v>1205</v>
      </c>
      <c r="C145" s="8">
        <v>21097.39</v>
      </c>
      <c r="D145" s="8">
        <v>0.065</v>
      </c>
      <c r="E145" s="2">
        <f t="shared" si="1"/>
        <v>0</v>
      </c>
      <c r="F145" s="2" t="s">
        <v>1206</v>
      </c>
      <c r="G145" s="2">
        <f t="shared" si="2"/>
        <v>1371.33</v>
      </c>
      <c r="H145" s="2" t="str">
        <f t="shared" si="3"/>
        <v>Mismatch</v>
      </c>
      <c r="I145" s="2">
        <f t="array" ref="I145">IFERROR(XLOOKUP(XLOOKUP(A145, AP_Subledger!A:A, AP_Subledger!H:H), Tax_Rates_Reference!A:A, Tax_Rates_Reference!C:C), "")
</f>
        <v>0.065</v>
      </c>
      <c r="J145" s="2" t="b">
        <f t="shared" si="4"/>
        <v>1</v>
      </c>
    </row>
    <row r="146">
      <c r="A146" s="2" t="s">
        <v>189</v>
      </c>
      <c r="B146" s="2" t="s">
        <v>1205</v>
      </c>
      <c r="C146" s="8">
        <v>15043.02</v>
      </c>
      <c r="D146" s="8">
        <v>0.055</v>
      </c>
      <c r="E146" s="2">
        <f t="shared" si="1"/>
        <v>977.8</v>
      </c>
      <c r="F146" s="2" t="s">
        <v>1206</v>
      </c>
      <c r="G146" s="2">
        <f t="shared" si="2"/>
        <v>827.37</v>
      </c>
      <c r="H146" s="2" t="str">
        <f t="shared" si="3"/>
        <v>Mismatch</v>
      </c>
      <c r="I146" s="2">
        <f t="array" ref="I146">IFERROR(XLOOKUP(XLOOKUP(A146, AP_Subledger!A:A, AP_Subledger!H:H), Tax_Rates_Reference!A:A, Tax_Rates_Reference!C:C), "")
</f>
        <v>0.075</v>
      </c>
      <c r="J146" s="2" t="b">
        <f t="shared" si="4"/>
        <v>0</v>
      </c>
    </row>
    <row r="147">
      <c r="A147" s="2" t="s">
        <v>190</v>
      </c>
      <c r="B147" s="2" t="s">
        <v>1205</v>
      </c>
      <c r="C147" s="8">
        <v>18552.15</v>
      </c>
      <c r="D147" s="8">
        <v>0.075</v>
      </c>
      <c r="E147" s="2">
        <f t="shared" si="1"/>
        <v>1391.41</v>
      </c>
      <c r="F147" s="2" t="s">
        <v>1206</v>
      </c>
      <c r="G147" s="2">
        <f t="shared" si="2"/>
        <v>1391.41</v>
      </c>
      <c r="H147" s="2" t="str">
        <f t="shared" si="3"/>
        <v>OK</v>
      </c>
      <c r="I147" s="2">
        <f t="array" ref="I147">IFERROR(XLOOKUP(XLOOKUP(A147, AP_Subledger!A:A, AP_Subledger!H:H), Tax_Rates_Reference!A:A, Tax_Rates_Reference!C:C), "")
</f>
        <v>0.075</v>
      </c>
      <c r="J147" s="2" t="b">
        <f t="shared" si="4"/>
        <v>1</v>
      </c>
    </row>
    <row r="148">
      <c r="A148" s="2" t="s">
        <v>191</v>
      </c>
      <c r="B148" s="2" t="s">
        <v>1205</v>
      </c>
      <c r="C148" s="8">
        <v>7452.51</v>
      </c>
      <c r="D148" s="8">
        <v>0.055</v>
      </c>
      <c r="E148" s="2">
        <f t="shared" si="1"/>
        <v>819.78</v>
      </c>
      <c r="F148" s="2" t="s">
        <v>1206</v>
      </c>
      <c r="G148" s="2">
        <f t="shared" si="2"/>
        <v>409.89</v>
      </c>
      <c r="H148" s="2" t="str">
        <f t="shared" si="3"/>
        <v>Mismatch</v>
      </c>
      <c r="I148" s="2">
        <f t="array" ref="I148">IFERROR(XLOOKUP(XLOOKUP(A148, AP_Subledger!A:A, AP_Subledger!H:H), Tax_Rates_Reference!A:A, Tax_Rates_Reference!C:C), "")
</f>
        <v>0.075</v>
      </c>
      <c r="J148" s="2" t="b">
        <f t="shared" si="4"/>
        <v>0</v>
      </c>
    </row>
    <row r="149">
      <c r="A149" s="2" t="s">
        <v>192</v>
      </c>
      <c r="B149" s="2" t="s">
        <v>1205</v>
      </c>
      <c r="C149" s="8">
        <v>9224.37</v>
      </c>
      <c r="D149" s="8">
        <v>0.08</v>
      </c>
      <c r="E149" s="2">
        <f t="shared" si="1"/>
        <v>737.95</v>
      </c>
      <c r="F149" s="2" t="s">
        <v>1206</v>
      </c>
      <c r="G149" s="2">
        <f t="shared" si="2"/>
        <v>737.95</v>
      </c>
      <c r="H149" s="2" t="str">
        <f t="shared" si="3"/>
        <v>OK</v>
      </c>
      <c r="I149" s="2">
        <f t="array" ref="I149">IFERROR(XLOOKUP(XLOOKUP(A149, AP_Subledger!A:A, AP_Subledger!H:H), Tax_Rates_Reference!A:A, Tax_Rates_Reference!C:C), "")
</f>
        <v>0.06</v>
      </c>
      <c r="J149" s="2" t="b">
        <f t="shared" si="4"/>
        <v>0</v>
      </c>
    </row>
    <row r="150">
      <c r="A150" s="2" t="s">
        <v>193</v>
      </c>
      <c r="B150" s="2" t="s">
        <v>1205</v>
      </c>
      <c r="C150" s="8">
        <v>684.59</v>
      </c>
      <c r="D150" s="8">
        <v>0.06</v>
      </c>
      <c r="E150" s="2">
        <f t="shared" si="1"/>
        <v>41.08</v>
      </c>
      <c r="F150" s="2" t="s">
        <v>1206</v>
      </c>
      <c r="G150" s="2">
        <f t="shared" si="2"/>
        <v>41.08</v>
      </c>
      <c r="H150" s="2" t="str">
        <f t="shared" si="3"/>
        <v>OK</v>
      </c>
      <c r="I150" s="2">
        <f t="array" ref="I150">IFERROR(XLOOKUP(XLOOKUP(A150, AP_Subledger!A:A, AP_Subledger!H:H), Tax_Rates_Reference!A:A, Tax_Rates_Reference!C:C), "")
</f>
        <v>0.06</v>
      </c>
      <c r="J150" s="2" t="b">
        <f t="shared" si="4"/>
        <v>1</v>
      </c>
    </row>
    <row r="151">
      <c r="A151" s="2" t="s">
        <v>194</v>
      </c>
      <c r="B151" s="2" t="s">
        <v>1205</v>
      </c>
      <c r="C151" s="8">
        <v>7484.83</v>
      </c>
      <c r="D151" s="8">
        <v>0.075</v>
      </c>
      <c r="E151" s="2">
        <f t="shared" si="1"/>
        <v>561.36</v>
      </c>
      <c r="F151" s="2" t="s">
        <v>1206</v>
      </c>
      <c r="G151" s="2">
        <f t="shared" si="2"/>
        <v>561.36</v>
      </c>
      <c r="H151" s="2" t="str">
        <f t="shared" si="3"/>
        <v>OK</v>
      </c>
      <c r="I151" s="2">
        <f t="array" ref="I151">IFERROR(XLOOKUP(XLOOKUP(A151, AP_Subledger!A:A, AP_Subledger!H:H), Tax_Rates_Reference!A:A, Tax_Rates_Reference!C:C), "")
</f>
        <v>0.075</v>
      </c>
      <c r="J151" s="2" t="b">
        <f t="shared" si="4"/>
        <v>1</v>
      </c>
    </row>
    <row r="152">
      <c r="A152" s="2" t="s">
        <v>195</v>
      </c>
      <c r="B152" s="2" t="s">
        <v>1205</v>
      </c>
      <c r="C152" s="8">
        <v>13350.53</v>
      </c>
      <c r="D152" s="8">
        <v>0.065</v>
      </c>
      <c r="E152" s="2">
        <f t="shared" si="1"/>
        <v>867.78</v>
      </c>
      <c r="F152" s="2" t="s">
        <v>1206</v>
      </c>
      <c r="G152" s="2">
        <f t="shared" si="2"/>
        <v>867.78</v>
      </c>
      <c r="H152" s="2" t="str">
        <f t="shared" si="3"/>
        <v>OK</v>
      </c>
      <c r="I152" s="2">
        <f t="array" ref="I152">IFERROR(XLOOKUP(XLOOKUP(A152, AP_Subledger!A:A, AP_Subledger!H:H), Tax_Rates_Reference!A:A, Tax_Rates_Reference!C:C), "")
</f>
        <v>0.065</v>
      </c>
      <c r="J152" s="2" t="b">
        <f t="shared" si="4"/>
        <v>1</v>
      </c>
    </row>
    <row r="153">
      <c r="A153" s="2" t="s">
        <v>196</v>
      </c>
      <c r="B153" s="2" t="s">
        <v>1205</v>
      </c>
      <c r="C153" s="8">
        <v>14611.96</v>
      </c>
      <c r="D153" s="8">
        <v>0.07</v>
      </c>
      <c r="E153" s="2">
        <f t="shared" si="1"/>
        <v>1022.84</v>
      </c>
      <c r="F153" s="2" t="s">
        <v>1206</v>
      </c>
      <c r="G153" s="2">
        <f t="shared" si="2"/>
        <v>1022.84</v>
      </c>
      <c r="H153" s="2" t="str">
        <f t="shared" si="3"/>
        <v>OK</v>
      </c>
      <c r="I153" s="2">
        <f t="array" ref="I153">IFERROR(XLOOKUP(XLOOKUP(A153, AP_Subledger!A:A, AP_Subledger!H:H), Tax_Rates_Reference!A:A, Tax_Rates_Reference!C:C), "")
</f>
        <v>0.07</v>
      </c>
      <c r="J153" s="2" t="b">
        <f t="shared" si="4"/>
        <v>1</v>
      </c>
    </row>
    <row r="154">
      <c r="A154" s="2" t="s">
        <v>197</v>
      </c>
      <c r="B154" s="2" t="s">
        <v>1205</v>
      </c>
      <c r="C154" s="8">
        <v>6818.62</v>
      </c>
      <c r="D154" s="8">
        <v>0.065</v>
      </c>
      <c r="E154" s="2">
        <f t="shared" si="1"/>
        <v>443.21</v>
      </c>
      <c r="F154" s="2" t="s">
        <v>1206</v>
      </c>
      <c r="G154" s="2">
        <f t="shared" si="2"/>
        <v>443.21</v>
      </c>
      <c r="H154" s="2" t="str">
        <f t="shared" si="3"/>
        <v>OK</v>
      </c>
      <c r="I154" s="2">
        <f t="array" ref="I154">IFERROR(XLOOKUP(XLOOKUP(A154, AP_Subledger!A:A, AP_Subledger!H:H), Tax_Rates_Reference!A:A, Tax_Rates_Reference!C:C), "")
</f>
        <v>0.065</v>
      </c>
      <c r="J154" s="2" t="b">
        <f t="shared" si="4"/>
        <v>1</v>
      </c>
    </row>
    <row r="155">
      <c r="A155" s="2" t="s">
        <v>198</v>
      </c>
      <c r="B155" s="2" t="s">
        <v>1205</v>
      </c>
      <c r="C155" s="8">
        <v>14140.69</v>
      </c>
      <c r="D155" s="8">
        <v>0.075</v>
      </c>
      <c r="E155" s="2">
        <f t="shared" si="1"/>
        <v>1060.55</v>
      </c>
      <c r="F155" s="2" t="s">
        <v>1206</v>
      </c>
      <c r="G155" s="2">
        <f t="shared" si="2"/>
        <v>1060.55</v>
      </c>
      <c r="H155" s="2" t="str">
        <f t="shared" si="3"/>
        <v>OK</v>
      </c>
      <c r="I155" s="2">
        <f t="array" ref="I155">IFERROR(XLOOKUP(XLOOKUP(A155, AP_Subledger!A:A, AP_Subledger!H:H), Tax_Rates_Reference!A:A, Tax_Rates_Reference!C:C), "")
</f>
        <v>0.075</v>
      </c>
      <c r="J155" s="2" t="b">
        <f t="shared" si="4"/>
        <v>1</v>
      </c>
    </row>
    <row r="156">
      <c r="A156" s="2" t="s">
        <v>199</v>
      </c>
      <c r="B156" s="2" t="s">
        <v>1205</v>
      </c>
      <c r="C156" s="8">
        <v>5082.57</v>
      </c>
      <c r="D156" s="8">
        <v>0.065</v>
      </c>
      <c r="E156" s="2">
        <f t="shared" si="1"/>
        <v>330.37</v>
      </c>
      <c r="F156" s="2" t="s">
        <v>1206</v>
      </c>
      <c r="G156" s="2">
        <f t="shared" si="2"/>
        <v>330.37</v>
      </c>
      <c r="H156" s="2" t="str">
        <f t="shared" si="3"/>
        <v>OK</v>
      </c>
      <c r="I156" s="2">
        <f t="array" ref="I156">IFERROR(XLOOKUP(XLOOKUP(A156, AP_Subledger!A:A, AP_Subledger!H:H), Tax_Rates_Reference!A:A, Tax_Rates_Reference!C:C), "")
</f>
        <v>0.065</v>
      </c>
      <c r="J156" s="2" t="b">
        <f t="shared" si="4"/>
        <v>1</v>
      </c>
    </row>
    <row r="157">
      <c r="A157" s="2" t="s">
        <v>200</v>
      </c>
      <c r="B157" s="2" t="s">
        <v>1205</v>
      </c>
      <c r="C157" s="8">
        <v>6439.04</v>
      </c>
      <c r="D157" s="8">
        <v>0.07</v>
      </c>
      <c r="E157" s="2">
        <f t="shared" si="1"/>
        <v>450.73</v>
      </c>
      <c r="F157" s="2" t="s">
        <v>1206</v>
      </c>
      <c r="G157" s="2">
        <f t="shared" si="2"/>
        <v>450.73</v>
      </c>
      <c r="H157" s="2" t="str">
        <f t="shared" si="3"/>
        <v>OK</v>
      </c>
      <c r="I157" s="2">
        <f t="array" ref="I157">IFERROR(XLOOKUP(XLOOKUP(A157, AP_Subledger!A:A, AP_Subledger!H:H), Tax_Rates_Reference!A:A, Tax_Rates_Reference!C:C), "")
</f>
        <v>0.07</v>
      </c>
      <c r="J157" s="2" t="b">
        <f t="shared" si="4"/>
        <v>1</v>
      </c>
    </row>
    <row r="158">
      <c r="A158" s="2" t="s">
        <v>201</v>
      </c>
      <c r="B158" s="2" t="s">
        <v>1205</v>
      </c>
      <c r="C158" s="8">
        <v>12899.55</v>
      </c>
      <c r="D158" s="8">
        <v>0.06</v>
      </c>
      <c r="E158" s="2">
        <f t="shared" si="1"/>
        <v>773.97</v>
      </c>
      <c r="F158" s="2" t="s">
        <v>1206</v>
      </c>
      <c r="G158" s="2">
        <f t="shared" si="2"/>
        <v>773.97</v>
      </c>
      <c r="H158" s="2" t="str">
        <f t="shared" si="3"/>
        <v>OK</v>
      </c>
      <c r="I158" s="2">
        <f t="array" ref="I158">IFERROR(XLOOKUP(XLOOKUP(A158, AP_Subledger!A:A, AP_Subledger!H:H), Tax_Rates_Reference!A:A, Tax_Rates_Reference!C:C), "")
</f>
        <v>0.06</v>
      </c>
      <c r="J158" s="2" t="b">
        <f t="shared" si="4"/>
        <v>1</v>
      </c>
    </row>
    <row r="159">
      <c r="A159" s="2" t="s">
        <v>202</v>
      </c>
      <c r="B159" s="2" t="s">
        <v>1205</v>
      </c>
      <c r="C159" s="8">
        <v>1769.68</v>
      </c>
      <c r="D159" s="8">
        <v>0.07</v>
      </c>
      <c r="E159" s="2">
        <f t="shared" si="1"/>
        <v>123.88</v>
      </c>
      <c r="F159" s="2" t="s">
        <v>1206</v>
      </c>
      <c r="G159" s="2">
        <f t="shared" si="2"/>
        <v>123.88</v>
      </c>
      <c r="H159" s="2" t="str">
        <f t="shared" si="3"/>
        <v>OK</v>
      </c>
      <c r="I159" s="2">
        <f t="array" ref="I159">IFERROR(XLOOKUP(XLOOKUP(A159, AP_Subledger!A:A, AP_Subledger!H:H), Tax_Rates_Reference!A:A, Tax_Rates_Reference!C:C), "")
</f>
        <v>0.07</v>
      </c>
      <c r="J159" s="2" t="b">
        <f t="shared" si="4"/>
        <v>1</v>
      </c>
    </row>
    <row r="160">
      <c r="A160" s="2" t="s">
        <v>203</v>
      </c>
      <c r="B160" s="2" t="s">
        <v>1205</v>
      </c>
      <c r="C160" s="8">
        <v>24754.03</v>
      </c>
      <c r="D160" s="8">
        <v>0.07</v>
      </c>
      <c r="E160" s="2">
        <f t="shared" si="1"/>
        <v>1732.78</v>
      </c>
      <c r="F160" s="2" t="s">
        <v>1206</v>
      </c>
      <c r="G160" s="2">
        <f t="shared" si="2"/>
        <v>1732.78</v>
      </c>
      <c r="H160" s="2" t="str">
        <f t="shared" si="3"/>
        <v>OK</v>
      </c>
      <c r="I160" s="2">
        <f t="array" ref="I160">IFERROR(XLOOKUP(XLOOKUP(A160, AP_Subledger!A:A, AP_Subledger!H:H), Tax_Rates_Reference!A:A, Tax_Rates_Reference!C:C), "")
</f>
        <v>0.07</v>
      </c>
      <c r="J160" s="2" t="b">
        <f t="shared" si="4"/>
        <v>1</v>
      </c>
    </row>
    <row r="161">
      <c r="A161" s="2" t="s">
        <v>204</v>
      </c>
      <c r="B161" s="2" t="s">
        <v>1205</v>
      </c>
      <c r="C161" s="8">
        <v>17196.82</v>
      </c>
      <c r="D161" s="8">
        <v>0.07</v>
      </c>
      <c r="E161" s="2">
        <f t="shared" si="1"/>
        <v>1203.78</v>
      </c>
      <c r="F161" s="2" t="s">
        <v>1206</v>
      </c>
      <c r="G161" s="2">
        <f t="shared" si="2"/>
        <v>1203.78</v>
      </c>
      <c r="H161" s="2" t="str">
        <f t="shared" si="3"/>
        <v>OK</v>
      </c>
      <c r="I161" s="2">
        <f t="array" ref="I161">IFERROR(XLOOKUP(XLOOKUP(A161, AP_Subledger!A:A, AP_Subledger!H:H), Tax_Rates_Reference!A:A, Tax_Rates_Reference!C:C), "")
</f>
        <v>0.07</v>
      </c>
      <c r="J161" s="2" t="b">
        <f t="shared" si="4"/>
        <v>1</v>
      </c>
    </row>
    <row r="162">
      <c r="A162" s="2" t="s">
        <v>205</v>
      </c>
      <c r="B162" s="2" t="s">
        <v>1205</v>
      </c>
      <c r="C162" s="8">
        <v>9047.27</v>
      </c>
      <c r="D162" s="8">
        <v>0.075</v>
      </c>
      <c r="E162" s="2">
        <f t="shared" si="1"/>
        <v>678.55</v>
      </c>
      <c r="F162" s="2" t="s">
        <v>1206</v>
      </c>
      <c r="G162" s="2">
        <f t="shared" si="2"/>
        <v>678.55</v>
      </c>
      <c r="H162" s="2" t="str">
        <f t="shared" si="3"/>
        <v>OK</v>
      </c>
      <c r="I162" s="2">
        <f t="array" ref="I162">IFERROR(XLOOKUP(XLOOKUP(A162, AP_Subledger!A:A, AP_Subledger!H:H), Tax_Rates_Reference!A:A, Tax_Rates_Reference!C:C), "")
</f>
        <v>0.075</v>
      </c>
      <c r="J162" s="2" t="b">
        <f t="shared" si="4"/>
        <v>1</v>
      </c>
    </row>
    <row r="163">
      <c r="A163" s="2" t="s">
        <v>206</v>
      </c>
      <c r="B163" s="2" t="s">
        <v>1205</v>
      </c>
      <c r="C163" s="8">
        <v>10508.7</v>
      </c>
      <c r="D163" s="8">
        <v>0.06</v>
      </c>
      <c r="E163" s="2">
        <f t="shared" si="1"/>
        <v>630.52</v>
      </c>
      <c r="F163" s="2" t="s">
        <v>1206</v>
      </c>
      <c r="G163" s="2">
        <f t="shared" si="2"/>
        <v>630.52</v>
      </c>
      <c r="H163" s="2" t="str">
        <f t="shared" si="3"/>
        <v>OK</v>
      </c>
      <c r="I163" s="2">
        <f t="array" ref="I163">IFERROR(XLOOKUP(XLOOKUP(A163, AP_Subledger!A:A, AP_Subledger!H:H), Tax_Rates_Reference!A:A, Tax_Rates_Reference!C:C), "")
</f>
        <v>0.06</v>
      </c>
      <c r="J163" s="2" t="b">
        <f t="shared" si="4"/>
        <v>1</v>
      </c>
    </row>
    <row r="164">
      <c r="A164" s="2" t="s">
        <v>207</v>
      </c>
      <c r="B164" s="2" t="s">
        <v>1205</v>
      </c>
      <c r="C164" s="8">
        <v>9791.1</v>
      </c>
      <c r="D164" s="8">
        <v>0.065</v>
      </c>
      <c r="E164" s="2">
        <f t="shared" si="1"/>
        <v>636.42</v>
      </c>
      <c r="F164" s="2" t="s">
        <v>1206</v>
      </c>
      <c r="G164" s="2">
        <f t="shared" si="2"/>
        <v>636.42</v>
      </c>
      <c r="H164" s="2" t="str">
        <f t="shared" si="3"/>
        <v>OK</v>
      </c>
      <c r="I164" s="2">
        <f t="array" ref="I164">IFERROR(XLOOKUP(XLOOKUP(A164, AP_Subledger!A:A, AP_Subledger!H:H), Tax_Rates_Reference!A:A, Tax_Rates_Reference!C:C), "")
</f>
        <v>0.065</v>
      </c>
      <c r="J164" s="2" t="b">
        <f t="shared" si="4"/>
        <v>1</v>
      </c>
    </row>
    <row r="165">
      <c r="A165" s="2" t="s">
        <v>208</v>
      </c>
      <c r="B165" s="2" t="s">
        <v>1205</v>
      </c>
      <c r="C165" s="8">
        <v>21124.81</v>
      </c>
      <c r="D165" s="8">
        <v>0.075</v>
      </c>
      <c r="E165" s="2">
        <f t="shared" si="1"/>
        <v>3168.72</v>
      </c>
      <c r="F165" s="2" t="s">
        <v>1206</v>
      </c>
      <c r="G165" s="2">
        <f t="shared" si="2"/>
        <v>1584.36</v>
      </c>
      <c r="H165" s="2" t="str">
        <f t="shared" si="3"/>
        <v>Mismatch</v>
      </c>
      <c r="I165" s="2">
        <f t="array" ref="I165">IFERROR(XLOOKUP(XLOOKUP(A165, AP_Subledger!A:A, AP_Subledger!H:H), Tax_Rates_Reference!A:A, Tax_Rates_Reference!C:C), "")
</f>
        <v>0.075</v>
      </c>
      <c r="J165" s="2" t="b">
        <f t="shared" si="4"/>
        <v>1</v>
      </c>
    </row>
    <row r="166">
      <c r="A166" s="2" t="s">
        <v>209</v>
      </c>
      <c r="B166" s="2" t="s">
        <v>1205</v>
      </c>
      <c r="C166" s="8">
        <v>4524.51</v>
      </c>
      <c r="D166" s="8">
        <v>0.075</v>
      </c>
      <c r="E166" s="2">
        <f t="shared" si="1"/>
        <v>339.34</v>
      </c>
      <c r="F166" s="2" t="s">
        <v>1206</v>
      </c>
      <c r="G166" s="2">
        <f t="shared" si="2"/>
        <v>339.34</v>
      </c>
      <c r="H166" s="2" t="str">
        <f t="shared" si="3"/>
        <v>OK</v>
      </c>
      <c r="I166" s="2">
        <f t="array" ref="I166">IFERROR(XLOOKUP(XLOOKUP(A166, AP_Subledger!A:A, AP_Subledger!H:H), Tax_Rates_Reference!A:A, Tax_Rates_Reference!C:C), "")
</f>
        <v>0.075</v>
      </c>
      <c r="J166" s="2" t="b">
        <f t="shared" si="4"/>
        <v>1</v>
      </c>
    </row>
    <row r="167">
      <c r="A167" s="2" t="s">
        <v>210</v>
      </c>
      <c r="B167" s="2" t="s">
        <v>1205</v>
      </c>
      <c r="C167" s="8">
        <v>21991.41</v>
      </c>
      <c r="D167" s="8">
        <v>0.065</v>
      </c>
      <c r="E167" s="2">
        <f t="shared" si="1"/>
        <v>1429.44</v>
      </c>
      <c r="F167" s="2" t="s">
        <v>1206</v>
      </c>
      <c r="G167" s="2">
        <f t="shared" si="2"/>
        <v>1429.44</v>
      </c>
      <c r="H167" s="2" t="str">
        <f t="shared" si="3"/>
        <v>OK</v>
      </c>
      <c r="I167" s="2">
        <f t="array" ref="I167">IFERROR(XLOOKUP(XLOOKUP(A167, AP_Subledger!A:A, AP_Subledger!H:H), Tax_Rates_Reference!A:A, Tax_Rates_Reference!C:C), "")
</f>
        <v>0.065</v>
      </c>
      <c r="J167" s="2" t="b">
        <f t="shared" si="4"/>
        <v>1</v>
      </c>
    </row>
    <row r="168">
      <c r="A168" s="2" t="s">
        <v>211</v>
      </c>
      <c r="B168" s="2" t="s">
        <v>1205</v>
      </c>
      <c r="C168" s="8">
        <v>9735.14</v>
      </c>
      <c r="D168" s="8">
        <v>0.06</v>
      </c>
      <c r="E168" s="2">
        <f t="shared" si="1"/>
        <v>584.11</v>
      </c>
      <c r="F168" s="2" t="s">
        <v>1206</v>
      </c>
      <c r="G168" s="2">
        <f t="shared" si="2"/>
        <v>584.11</v>
      </c>
      <c r="H168" s="2" t="str">
        <f t="shared" si="3"/>
        <v>OK</v>
      </c>
      <c r="I168" s="2">
        <f t="array" ref="I168">IFERROR(XLOOKUP(XLOOKUP(A168, AP_Subledger!A:A, AP_Subledger!H:H), Tax_Rates_Reference!A:A, Tax_Rates_Reference!C:C), "")
</f>
        <v>0.06</v>
      </c>
      <c r="J168" s="2" t="b">
        <f t="shared" si="4"/>
        <v>1</v>
      </c>
    </row>
    <row r="169">
      <c r="A169" s="2" t="s">
        <v>212</v>
      </c>
      <c r="B169" s="2" t="s">
        <v>1205</v>
      </c>
      <c r="C169" s="8">
        <v>12816.65</v>
      </c>
      <c r="D169" s="8">
        <v>0.06</v>
      </c>
      <c r="E169" s="2">
        <f t="shared" si="1"/>
        <v>769</v>
      </c>
      <c r="F169" s="2" t="s">
        <v>1206</v>
      </c>
      <c r="G169" s="2">
        <f t="shared" si="2"/>
        <v>769</v>
      </c>
      <c r="H169" s="2" t="str">
        <f t="shared" si="3"/>
        <v>OK</v>
      </c>
      <c r="I169" s="2">
        <f t="array" ref="I169">IFERROR(XLOOKUP(XLOOKUP(A169, AP_Subledger!A:A, AP_Subledger!H:H), Tax_Rates_Reference!A:A, Tax_Rates_Reference!C:C), "")
</f>
        <v>0.06</v>
      </c>
      <c r="J169" s="2" t="b">
        <f t="shared" si="4"/>
        <v>1</v>
      </c>
    </row>
    <row r="170">
      <c r="A170" s="2" t="s">
        <v>213</v>
      </c>
      <c r="B170" s="2" t="s">
        <v>1205</v>
      </c>
      <c r="C170" s="8">
        <v>13799.81</v>
      </c>
      <c r="D170" s="8">
        <v>0.065</v>
      </c>
      <c r="E170" s="2">
        <f t="shared" si="1"/>
        <v>896.99</v>
      </c>
      <c r="F170" s="2" t="s">
        <v>1206</v>
      </c>
      <c r="G170" s="2">
        <f t="shared" si="2"/>
        <v>896.99</v>
      </c>
      <c r="H170" s="2" t="str">
        <f t="shared" si="3"/>
        <v>OK</v>
      </c>
      <c r="I170" s="2">
        <f t="array" ref="I170">IFERROR(XLOOKUP(XLOOKUP(A170, AP_Subledger!A:A, AP_Subledger!H:H), Tax_Rates_Reference!A:A, Tax_Rates_Reference!C:C), "")
</f>
        <v>0.065</v>
      </c>
      <c r="J170" s="2" t="b">
        <f t="shared" si="4"/>
        <v>1</v>
      </c>
    </row>
    <row r="171">
      <c r="A171" s="2" t="s">
        <v>214</v>
      </c>
      <c r="B171" s="2" t="s">
        <v>1205</v>
      </c>
      <c r="C171" s="8">
        <v>3912.17</v>
      </c>
      <c r="D171" s="8">
        <v>0.06</v>
      </c>
      <c r="E171" s="2">
        <f t="shared" si="1"/>
        <v>234.73</v>
      </c>
      <c r="F171" s="2" t="s">
        <v>1206</v>
      </c>
      <c r="G171" s="2">
        <f t="shared" si="2"/>
        <v>234.73</v>
      </c>
      <c r="H171" s="2" t="str">
        <f t="shared" si="3"/>
        <v>OK</v>
      </c>
      <c r="I171" s="2">
        <f t="array" ref="I171">IFERROR(XLOOKUP(XLOOKUP(A171, AP_Subledger!A:A, AP_Subledger!H:H), Tax_Rates_Reference!A:A, Tax_Rates_Reference!C:C), "")
</f>
        <v>0.06</v>
      </c>
      <c r="J171" s="2" t="b">
        <f t="shared" si="4"/>
        <v>1</v>
      </c>
    </row>
    <row r="172">
      <c r="A172" s="2" t="s">
        <v>215</v>
      </c>
      <c r="B172" s="2" t="s">
        <v>1205</v>
      </c>
      <c r="C172" s="8">
        <v>22400.37</v>
      </c>
      <c r="D172" s="8">
        <v>0.075</v>
      </c>
      <c r="E172" s="2">
        <f t="shared" si="1"/>
        <v>1680.03</v>
      </c>
      <c r="F172" s="2" t="s">
        <v>1206</v>
      </c>
      <c r="G172" s="2">
        <f t="shared" si="2"/>
        <v>1680.03</v>
      </c>
      <c r="H172" s="2" t="str">
        <f t="shared" si="3"/>
        <v>OK</v>
      </c>
      <c r="I172" s="2">
        <f t="array" ref="I172">IFERROR(XLOOKUP(XLOOKUP(A172, AP_Subledger!A:A, AP_Subledger!H:H), Tax_Rates_Reference!A:A, Tax_Rates_Reference!C:C), "")
</f>
        <v>0.075</v>
      </c>
      <c r="J172" s="2" t="b">
        <f t="shared" si="4"/>
        <v>1</v>
      </c>
    </row>
    <row r="173">
      <c r="A173" s="2" t="s">
        <v>216</v>
      </c>
      <c r="B173" s="2" t="s">
        <v>1205</v>
      </c>
      <c r="C173" s="8">
        <v>19575.01</v>
      </c>
      <c r="D173" s="8">
        <v>0.065</v>
      </c>
      <c r="E173" s="2">
        <f t="shared" si="1"/>
        <v>1272.38</v>
      </c>
      <c r="F173" s="2" t="s">
        <v>1206</v>
      </c>
      <c r="G173" s="2">
        <f t="shared" si="2"/>
        <v>1272.38</v>
      </c>
      <c r="H173" s="2" t="str">
        <f t="shared" si="3"/>
        <v>OK</v>
      </c>
      <c r="I173" s="2">
        <f t="array" ref="I173">IFERROR(XLOOKUP(XLOOKUP(A173, AP_Subledger!A:A, AP_Subledger!H:H), Tax_Rates_Reference!A:A, Tax_Rates_Reference!C:C), "")
</f>
        <v>0.065</v>
      </c>
      <c r="J173" s="2" t="b">
        <f t="shared" si="4"/>
        <v>1</v>
      </c>
    </row>
    <row r="174">
      <c r="A174" s="2" t="s">
        <v>217</v>
      </c>
      <c r="B174" s="2" t="s">
        <v>1205</v>
      </c>
      <c r="C174" s="8">
        <v>8881.0</v>
      </c>
      <c r="D174" s="8">
        <v>0.06</v>
      </c>
      <c r="E174" s="2">
        <f t="shared" si="1"/>
        <v>1065.72</v>
      </c>
      <c r="F174" s="2" t="s">
        <v>1206</v>
      </c>
      <c r="G174" s="2">
        <f t="shared" si="2"/>
        <v>532.86</v>
      </c>
      <c r="H174" s="2" t="str">
        <f t="shared" si="3"/>
        <v>Mismatch</v>
      </c>
      <c r="I174" s="2">
        <f t="array" ref="I174">IFERROR(XLOOKUP(XLOOKUP(A174, AP_Subledger!A:A, AP_Subledger!H:H), Tax_Rates_Reference!A:A, Tax_Rates_Reference!C:C), "")
</f>
        <v>0.06</v>
      </c>
      <c r="J174" s="2" t="b">
        <f t="shared" si="4"/>
        <v>1</v>
      </c>
    </row>
    <row r="175">
      <c r="A175" s="2" t="s">
        <v>218</v>
      </c>
      <c r="B175" s="2" t="s">
        <v>1205</v>
      </c>
      <c r="C175" s="8">
        <v>3623.47</v>
      </c>
      <c r="D175" s="8">
        <v>0.06</v>
      </c>
      <c r="E175" s="2">
        <f t="shared" si="1"/>
        <v>217.41</v>
      </c>
      <c r="F175" s="2" t="s">
        <v>1206</v>
      </c>
      <c r="G175" s="2">
        <f t="shared" si="2"/>
        <v>217.41</v>
      </c>
      <c r="H175" s="2" t="str">
        <f t="shared" si="3"/>
        <v>OK</v>
      </c>
      <c r="I175" s="2">
        <f t="array" ref="I175">IFERROR(XLOOKUP(XLOOKUP(A175, AP_Subledger!A:A, AP_Subledger!H:H), Tax_Rates_Reference!A:A, Tax_Rates_Reference!C:C), "")
</f>
        <v>0.06</v>
      </c>
      <c r="J175" s="2" t="b">
        <f t="shared" si="4"/>
        <v>1</v>
      </c>
    </row>
    <row r="176">
      <c r="A176" s="2" t="s">
        <v>219</v>
      </c>
      <c r="B176" s="2" t="s">
        <v>1205</v>
      </c>
      <c r="C176" s="8">
        <v>6116.66</v>
      </c>
      <c r="D176" s="8">
        <v>0.065</v>
      </c>
      <c r="E176" s="2">
        <f t="shared" si="1"/>
        <v>397.58</v>
      </c>
      <c r="F176" s="2" t="s">
        <v>1206</v>
      </c>
      <c r="G176" s="2">
        <f t="shared" si="2"/>
        <v>397.58</v>
      </c>
      <c r="H176" s="2" t="str">
        <f t="shared" si="3"/>
        <v>OK</v>
      </c>
      <c r="I176" s="2">
        <f t="array" ref="I176">IFERROR(XLOOKUP(XLOOKUP(A176, AP_Subledger!A:A, AP_Subledger!H:H), Tax_Rates_Reference!A:A, Tax_Rates_Reference!C:C), "")
</f>
        <v>0.065</v>
      </c>
      <c r="J176" s="2" t="b">
        <f t="shared" si="4"/>
        <v>1</v>
      </c>
    </row>
    <row r="177">
      <c r="A177" s="2" t="s">
        <v>220</v>
      </c>
      <c r="B177" s="2" t="s">
        <v>1205</v>
      </c>
      <c r="C177" s="8">
        <v>14354.95</v>
      </c>
      <c r="D177" s="8">
        <v>0.06</v>
      </c>
      <c r="E177" s="2">
        <f t="shared" si="1"/>
        <v>861.3</v>
      </c>
      <c r="F177" s="2" t="s">
        <v>1206</v>
      </c>
      <c r="G177" s="2">
        <f t="shared" si="2"/>
        <v>861.3</v>
      </c>
      <c r="H177" s="2" t="str">
        <f t="shared" si="3"/>
        <v>OK</v>
      </c>
      <c r="I177" s="2">
        <f t="array" ref="I177">IFERROR(XLOOKUP(XLOOKUP(A177, AP_Subledger!A:A, AP_Subledger!H:H), Tax_Rates_Reference!A:A, Tax_Rates_Reference!C:C), "")
</f>
        <v>0.06</v>
      </c>
      <c r="J177" s="2" t="b">
        <f t="shared" si="4"/>
        <v>1</v>
      </c>
    </row>
    <row r="178">
      <c r="A178" s="2" t="s">
        <v>221</v>
      </c>
      <c r="B178" s="2" t="s">
        <v>1205</v>
      </c>
      <c r="C178" s="8">
        <v>23997.33</v>
      </c>
      <c r="D178" s="8">
        <v>0.09</v>
      </c>
      <c r="E178" s="2">
        <f t="shared" si="1"/>
        <v>2159.76</v>
      </c>
      <c r="F178" s="2" t="s">
        <v>1206</v>
      </c>
      <c r="G178" s="2">
        <f t="shared" si="2"/>
        <v>2159.76</v>
      </c>
      <c r="H178" s="2" t="str">
        <f t="shared" si="3"/>
        <v>OK</v>
      </c>
      <c r="I178" s="2">
        <f t="array" ref="I178">IFERROR(XLOOKUP(XLOOKUP(A178, AP_Subledger!A:A, AP_Subledger!H:H), Tax_Rates_Reference!A:A, Tax_Rates_Reference!C:C), "")
</f>
        <v>0.07</v>
      </c>
      <c r="J178" s="2" t="b">
        <f t="shared" si="4"/>
        <v>0</v>
      </c>
    </row>
    <row r="179">
      <c r="A179" s="2" t="s">
        <v>222</v>
      </c>
      <c r="B179" s="2" t="s">
        <v>1205</v>
      </c>
      <c r="C179" s="8">
        <v>7554.28</v>
      </c>
      <c r="D179" s="8">
        <v>0.075</v>
      </c>
      <c r="E179" s="2">
        <f t="shared" si="1"/>
        <v>566.57</v>
      </c>
      <c r="F179" s="2" t="s">
        <v>1206</v>
      </c>
      <c r="G179" s="2">
        <f t="shared" si="2"/>
        <v>566.57</v>
      </c>
      <c r="H179" s="2" t="str">
        <f t="shared" si="3"/>
        <v>OK</v>
      </c>
      <c r="I179" s="2">
        <f t="array" ref="I179">IFERROR(XLOOKUP(XLOOKUP(A179, AP_Subledger!A:A, AP_Subledger!H:H), Tax_Rates_Reference!A:A, Tax_Rates_Reference!C:C), "")
</f>
        <v>0.075</v>
      </c>
      <c r="J179" s="2" t="b">
        <f t="shared" si="4"/>
        <v>1</v>
      </c>
    </row>
    <row r="180">
      <c r="A180" s="2" t="s">
        <v>223</v>
      </c>
      <c r="B180" s="2" t="s">
        <v>1205</v>
      </c>
      <c r="C180" s="8">
        <v>15480.63</v>
      </c>
      <c r="D180" s="8">
        <v>0.07</v>
      </c>
      <c r="E180" s="2">
        <f t="shared" si="1"/>
        <v>1083.64</v>
      </c>
      <c r="F180" s="2" t="s">
        <v>1206</v>
      </c>
      <c r="G180" s="2">
        <f t="shared" si="2"/>
        <v>1083.64</v>
      </c>
      <c r="H180" s="2" t="str">
        <f t="shared" si="3"/>
        <v>OK</v>
      </c>
      <c r="I180" s="2">
        <f t="array" ref="I180">IFERROR(XLOOKUP(XLOOKUP(A180, AP_Subledger!A:A, AP_Subledger!H:H), Tax_Rates_Reference!A:A, Tax_Rates_Reference!C:C), "")
</f>
        <v>0.07</v>
      </c>
      <c r="J180" s="2" t="b">
        <f t="shared" si="4"/>
        <v>1</v>
      </c>
    </row>
    <row r="181">
      <c r="A181" s="2" t="s">
        <v>224</v>
      </c>
      <c r="B181" s="2" t="s">
        <v>1205</v>
      </c>
      <c r="C181" s="8">
        <v>14345.76</v>
      </c>
      <c r="D181" s="8">
        <v>0.065</v>
      </c>
      <c r="E181" s="2">
        <f t="shared" si="1"/>
        <v>932.47</v>
      </c>
      <c r="F181" s="2" t="s">
        <v>1206</v>
      </c>
      <c r="G181" s="2">
        <f t="shared" si="2"/>
        <v>932.47</v>
      </c>
      <c r="H181" s="2" t="str">
        <f t="shared" si="3"/>
        <v>OK</v>
      </c>
      <c r="I181" s="2">
        <f t="array" ref="I181">IFERROR(XLOOKUP(XLOOKUP(A181, AP_Subledger!A:A, AP_Subledger!H:H), Tax_Rates_Reference!A:A, Tax_Rates_Reference!C:C), "")
</f>
        <v>0.065</v>
      </c>
      <c r="J181" s="2" t="b">
        <f t="shared" si="4"/>
        <v>1</v>
      </c>
    </row>
    <row r="182">
      <c r="A182" s="2" t="s">
        <v>225</v>
      </c>
      <c r="B182" s="2" t="s">
        <v>1205</v>
      </c>
      <c r="C182" s="8">
        <v>19395.54</v>
      </c>
      <c r="D182" s="8">
        <v>0.06</v>
      </c>
      <c r="E182" s="2">
        <f t="shared" si="1"/>
        <v>1163.73</v>
      </c>
      <c r="F182" s="2" t="s">
        <v>1206</v>
      </c>
      <c r="G182" s="2">
        <f t="shared" si="2"/>
        <v>1163.73</v>
      </c>
      <c r="H182" s="2" t="str">
        <f t="shared" si="3"/>
        <v>OK</v>
      </c>
      <c r="I182" s="2">
        <f t="array" ref="I182">IFERROR(XLOOKUP(XLOOKUP(A182, AP_Subledger!A:A, AP_Subledger!H:H), Tax_Rates_Reference!A:A, Tax_Rates_Reference!C:C), "")
</f>
        <v>0.06</v>
      </c>
      <c r="J182" s="2" t="b">
        <f t="shared" si="4"/>
        <v>1</v>
      </c>
    </row>
    <row r="183">
      <c r="A183" s="2" t="s">
        <v>226</v>
      </c>
      <c r="B183" s="2" t="s">
        <v>1205</v>
      </c>
      <c r="C183" s="8">
        <v>23391.99</v>
      </c>
      <c r="D183" s="8">
        <v>0.07</v>
      </c>
      <c r="E183" s="2">
        <f t="shared" si="1"/>
        <v>1637.44</v>
      </c>
      <c r="F183" s="2" t="s">
        <v>1206</v>
      </c>
      <c r="G183" s="2">
        <f t="shared" si="2"/>
        <v>1637.44</v>
      </c>
      <c r="H183" s="2" t="str">
        <f t="shared" si="3"/>
        <v>OK</v>
      </c>
      <c r="I183" s="2">
        <f t="array" ref="I183">IFERROR(XLOOKUP(XLOOKUP(A183, AP_Subledger!A:A, AP_Subledger!H:H), Tax_Rates_Reference!A:A, Tax_Rates_Reference!C:C), "")
</f>
        <v>0.07</v>
      </c>
      <c r="J183" s="2" t="b">
        <f t="shared" si="4"/>
        <v>1</v>
      </c>
    </row>
    <row r="184">
      <c r="A184" s="2" t="s">
        <v>227</v>
      </c>
      <c r="B184" s="2" t="s">
        <v>1205</v>
      </c>
      <c r="C184" s="8">
        <v>24628.61</v>
      </c>
      <c r="D184" s="8">
        <v>0.065</v>
      </c>
      <c r="E184" s="2">
        <f t="shared" si="1"/>
        <v>1600.86</v>
      </c>
      <c r="F184" s="2" t="s">
        <v>1206</v>
      </c>
      <c r="G184" s="2">
        <f t="shared" si="2"/>
        <v>1600.86</v>
      </c>
      <c r="H184" s="2" t="str">
        <f t="shared" si="3"/>
        <v>OK</v>
      </c>
      <c r="I184" s="2">
        <f t="array" ref="I184">IFERROR(XLOOKUP(XLOOKUP(A184, AP_Subledger!A:A, AP_Subledger!H:H), Tax_Rates_Reference!A:A, Tax_Rates_Reference!C:C), "")
</f>
        <v>0.065</v>
      </c>
      <c r="J184" s="2" t="b">
        <f t="shared" si="4"/>
        <v>1</v>
      </c>
    </row>
    <row r="185">
      <c r="A185" s="2" t="s">
        <v>228</v>
      </c>
      <c r="B185" s="2" t="s">
        <v>1205</v>
      </c>
      <c r="C185" s="8">
        <v>8130.38</v>
      </c>
      <c r="D185" s="8">
        <v>0.07</v>
      </c>
      <c r="E185" s="2">
        <f t="shared" si="1"/>
        <v>569.13</v>
      </c>
      <c r="F185" s="2" t="s">
        <v>1206</v>
      </c>
      <c r="G185" s="2">
        <f t="shared" si="2"/>
        <v>569.13</v>
      </c>
      <c r="H185" s="2" t="str">
        <f t="shared" si="3"/>
        <v>OK</v>
      </c>
      <c r="I185" s="2">
        <f t="array" ref="I185">IFERROR(XLOOKUP(XLOOKUP(A185, AP_Subledger!A:A, AP_Subledger!H:H), Tax_Rates_Reference!A:A, Tax_Rates_Reference!C:C), "")
</f>
        <v>0.07</v>
      </c>
      <c r="J185" s="2" t="b">
        <f t="shared" si="4"/>
        <v>1</v>
      </c>
    </row>
    <row r="186">
      <c r="A186" s="2" t="s">
        <v>229</v>
      </c>
      <c r="B186" s="2" t="s">
        <v>1205</v>
      </c>
      <c r="C186" s="8">
        <v>18734.12</v>
      </c>
      <c r="D186" s="8">
        <v>0.06</v>
      </c>
      <c r="E186" s="2">
        <f t="shared" si="1"/>
        <v>1124.05</v>
      </c>
      <c r="F186" s="2" t="s">
        <v>1206</v>
      </c>
      <c r="G186" s="2">
        <f t="shared" si="2"/>
        <v>1124.05</v>
      </c>
      <c r="H186" s="2" t="str">
        <f t="shared" si="3"/>
        <v>OK</v>
      </c>
      <c r="I186" s="2">
        <f t="array" ref="I186">IFERROR(XLOOKUP(XLOOKUP(A186, AP_Subledger!A:A, AP_Subledger!H:H), Tax_Rates_Reference!A:A, Tax_Rates_Reference!C:C), "")
</f>
        <v>0.06</v>
      </c>
      <c r="J186" s="2" t="b">
        <f t="shared" si="4"/>
        <v>1</v>
      </c>
    </row>
    <row r="187">
      <c r="A187" s="2" t="s">
        <v>230</v>
      </c>
      <c r="B187" s="2" t="s">
        <v>1205</v>
      </c>
      <c r="C187" s="8">
        <v>3299.55</v>
      </c>
      <c r="D187" s="8">
        <v>0.06</v>
      </c>
      <c r="E187" s="2">
        <f t="shared" si="1"/>
        <v>197.97</v>
      </c>
      <c r="F187" s="2" t="s">
        <v>1206</v>
      </c>
      <c r="G187" s="2">
        <f t="shared" si="2"/>
        <v>197.97</v>
      </c>
      <c r="H187" s="2" t="str">
        <f t="shared" si="3"/>
        <v>OK</v>
      </c>
      <c r="I187" s="2">
        <f t="array" ref="I187">IFERROR(XLOOKUP(XLOOKUP(A187, AP_Subledger!A:A, AP_Subledger!H:H), Tax_Rates_Reference!A:A, Tax_Rates_Reference!C:C), "")
</f>
        <v>0.06</v>
      </c>
      <c r="J187" s="2" t="b">
        <f t="shared" si="4"/>
        <v>1</v>
      </c>
    </row>
    <row r="188">
      <c r="A188" s="2" t="s">
        <v>231</v>
      </c>
      <c r="B188" s="2" t="s">
        <v>1205</v>
      </c>
      <c r="C188" s="8">
        <v>23002.14</v>
      </c>
      <c r="D188" s="8">
        <v>0.06</v>
      </c>
      <c r="E188" s="2">
        <f t="shared" si="1"/>
        <v>1380.13</v>
      </c>
      <c r="F188" s="2" t="s">
        <v>1206</v>
      </c>
      <c r="G188" s="2">
        <f t="shared" si="2"/>
        <v>1380.13</v>
      </c>
      <c r="H188" s="2" t="str">
        <f t="shared" si="3"/>
        <v>OK</v>
      </c>
      <c r="I188" s="2">
        <f t="array" ref="I188">IFERROR(XLOOKUP(XLOOKUP(A188, AP_Subledger!A:A, AP_Subledger!H:H), Tax_Rates_Reference!A:A, Tax_Rates_Reference!C:C), "")
</f>
        <v>0.06</v>
      </c>
      <c r="J188" s="2" t="b">
        <f t="shared" si="4"/>
        <v>1</v>
      </c>
    </row>
    <row r="189">
      <c r="A189" s="2" t="s">
        <v>232</v>
      </c>
      <c r="B189" s="2" t="s">
        <v>1205</v>
      </c>
      <c r="C189" s="8">
        <v>6581.55</v>
      </c>
      <c r="D189" s="8">
        <v>0.06</v>
      </c>
      <c r="E189" s="2">
        <f t="shared" si="1"/>
        <v>394.89</v>
      </c>
      <c r="F189" s="2" t="s">
        <v>1206</v>
      </c>
      <c r="G189" s="2">
        <f t="shared" si="2"/>
        <v>394.89</v>
      </c>
      <c r="H189" s="2" t="str">
        <f t="shared" si="3"/>
        <v>OK</v>
      </c>
      <c r="I189" s="2">
        <f t="array" ref="I189">IFERROR(XLOOKUP(XLOOKUP(A189, AP_Subledger!A:A, AP_Subledger!H:H), Tax_Rates_Reference!A:A, Tax_Rates_Reference!C:C), "")
</f>
        <v>0.06</v>
      </c>
      <c r="J189" s="2" t="b">
        <f t="shared" si="4"/>
        <v>1</v>
      </c>
    </row>
    <row r="190">
      <c r="A190" s="2" t="s">
        <v>233</v>
      </c>
      <c r="B190" s="2" t="s">
        <v>1205</v>
      </c>
      <c r="C190" s="8">
        <v>8131.09</v>
      </c>
      <c r="D190" s="8">
        <v>0.075</v>
      </c>
      <c r="E190" s="2">
        <f t="shared" si="1"/>
        <v>609.83</v>
      </c>
      <c r="F190" s="2" t="s">
        <v>1206</v>
      </c>
      <c r="G190" s="2">
        <f t="shared" si="2"/>
        <v>609.83</v>
      </c>
      <c r="H190" s="2" t="str">
        <f t="shared" si="3"/>
        <v>OK</v>
      </c>
      <c r="I190" s="2">
        <f t="array" ref="I190">IFERROR(XLOOKUP(XLOOKUP(A190, AP_Subledger!A:A, AP_Subledger!H:H), Tax_Rates_Reference!A:A, Tax_Rates_Reference!C:C), "")
</f>
        <v>0.075</v>
      </c>
      <c r="J190" s="2" t="b">
        <f t="shared" si="4"/>
        <v>1</v>
      </c>
    </row>
    <row r="191">
      <c r="A191" s="2" t="s">
        <v>234</v>
      </c>
      <c r="B191" s="2" t="s">
        <v>1205</v>
      </c>
      <c r="C191" s="8">
        <v>16756.67</v>
      </c>
      <c r="D191" s="8">
        <v>0.075</v>
      </c>
      <c r="E191" s="2">
        <f t="shared" si="1"/>
        <v>1256.75</v>
      </c>
      <c r="F191" s="2" t="s">
        <v>1206</v>
      </c>
      <c r="G191" s="2">
        <f t="shared" si="2"/>
        <v>1256.75</v>
      </c>
      <c r="H191" s="2" t="str">
        <f t="shared" si="3"/>
        <v>OK</v>
      </c>
      <c r="I191" s="2">
        <f t="array" ref="I191">IFERROR(XLOOKUP(XLOOKUP(A191, AP_Subledger!A:A, AP_Subledger!H:H), Tax_Rates_Reference!A:A, Tax_Rates_Reference!C:C), "")
</f>
        <v>0.075</v>
      </c>
      <c r="J191" s="2" t="b">
        <f t="shared" si="4"/>
        <v>1</v>
      </c>
    </row>
    <row r="192">
      <c r="A192" s="2" t="s">
        <v>235</v>
      </c>
      <c r="B192" s="2" t="s">
        <v>1205</v>
      </c>
      <c r="C192" s="8">
        <v>2591.07</v>
      </c>
      <c r="D192" s="8">
        <v>0.055</v>
      </c>
      <c r="E192" s="2">
        <f t="shared" si="1"/>
        <v>142.51</v>
      </c>
      <c r="F192" s="2" t="s">
        <v>1206</v>
      </c>
      <c r="G192" s="2">
        <f t="shared" si="2"/>
        <v>142.51</v>
      </c>
      <c r="H192" s="2" t="str">
        <f t="shared" si="3"/>
        <v>OK</v>
      </c>
      <c r="I192" s="2">
        <f t="array" ref="I192">IFERROR(XLOOKUP(XLOOKUP(A192, AP_Subledger!A:A, AP_Subledger!H:H), Tax_Rates_Reference!A:A, Tax_Rates_Reference!C:C), "")
</f>
        <v>0.075</v>
      </c>
      <c r="J192" s="2" t="b">
        <f t="shared" si="4"/>
        <v>0</v>
      </c>
    </row>
    <row r="193">
      <c r="A193" s="2" t="s">
        <v>236</v>
      </c>
      <c r="B193" s="2" t="s">
        <v>1205</v>
      </c>
      <c r="C193" s="8">
        <v>8093.45</v>
      </c>
      <c r="D193" s="8">
        <v>0.075</v>
      </c>
      <c r="E193" s="2">
        <f t="shared" si="1"/>
        <v>1214.02</v>
      </c>
      <c r="F193" s="2" t="s">
        <v>1206</v>
      </c>
      <c r="G193" s="2">
        <f t="shared" si="2"/>
        <v>607.01</v>
      </c>
      <c r="H193" s="2" t="str">
        <f t="shared" si="3"/>
        <v>Mismatch</v>
      </c>
      <c r="I193" s="2">
        <f t="array" ref="I193">IFERROR(XLOOKUP(XLOOKUP(A193, AP_Subledger!A:A, AP_Subledger!H:H), Tax_Rates_Reference!A:A, Tax_Rates_Reference!C:C), "")
</f>
        <v>0.075</v>
      </c>
      <c r="J193" s="2" t="b">
        <f t="shared" si="4"/>
        <v>1</v>
      </c>
    </row>
    <row r="194">
      <c r="A194" s="2" t="s">
        <v>237</v>
      </c>
      <c r="B194" s="2" t="s">
        <v>1205</v>
      </c>
      <c r="C194" s="8">
        <v>11971.68</v>
      </c>
      <c r="D194" s="8">
        <v>0.095</v>
      </c>
      <c r="E194" s="2">
        <f t="shared" si="1"/>
        <v>1137.31</v>
      </c>
      <c r="F194" s="2" t="s">
        <v>1206</v>
      </c>
      <c r="G194" s="2">
        <f t="shared" si="2"/>
        <v>1137.31</v>
      </c>
      <c r="H194" s="2" t="str">
        <f t="shared" si="3"/>
        <v>OK</v>
      </c>
      <c r="I194" s="2">
        <f t="array" ref="I194">IFERROR(XLOOKUP(XLOOKUP(A194, AP_Subledger!A:A, AP_Subledger!H:H), Tax_Rates_Reference!A:A, Tax_Rates_Reference!C:C), "")
</f>
        <v>0.075</v>
      </c>
      <c r="J194" s="2" t="b">
        <f t="shared" si="4"/>
        <v>0</v>
      </c>
    </row>
    <row r="195">
      <c r="A195" s="2" t="s">
        <v>238</v>
      </c>
      <c r="B195" s="2" t="s">
        <v>1205</v>
      </c>
      <c r="C195" s="8">
        <v>2109.86</v>
      </c>
      <c r="D195" s="8">
        <v>0.07</v>
      </c>
      <c r="E195" s="2">
        <f t="shared" si="1"/>
        <v>147.69</v>
      </c>
      <c r="F195" s="2" t="s">
        <v>1206</v>
      </c>
      <c r="G195" s="2">
        <f t="shared" si="2"/>
        <v>147.69</v>
      </c>
      <c r="H195" s="2" t="str">
        <f t="shared" si="3"/>
        <v>OK</v>
      </c>
      <c r="I195" s="2">
        <f t="array" ref="I195">IFERROR(XLOOKUP(XLOOKUP(A195, AP_Subledger!A:A, AP_Subledger!H:H), Tax_Rates_Reference!A:A, Tax_Rates_Reference!C:C), "")
</f>
        <v>0.07</v>
      </c>
      <c r="J195" s="2" t="b">
        <f t="shared" si="4"/>
        <v>1</v>
      </c>
    </row>
    <row r="196">
      <c r="A196" s="2" t="s">
        <v>239</v>
      </c>
      <c r="B196" s="2" t="s">
        <v>1205</v>
      </c>
      <c r="C196" s="8">
        <v>12286.65</v>
      </c>
      <c r="D196" s="8">
        <v>0.075</v>
      </c>
      <c r="E196" s="2">
        <f t="shared" si="1"/>
        <v>921.5</v>
      </c>
      <c r="F196" s="2" t="s">
        <v>1206</v>
      </c>
      <c r="G196" s="2">
        <f t="shared" si="2"/>
        <v>921.5</v>
      </c>
      <c r="H196" s="2" t="str">
        <f t="shared" si="3"/>
        <v>OK</v>
      </c>
      <c r="I196" s="2">
        <f t="array" ref="I196">IFERROR(XLOOKUP(XLOOKUP(A196, AP_Subledger!A:A, AP_Subledger!H:H), Tax_Rates_Reference!A:A, Tax_Rates_Reference!C:C), "")
</f>
        <v>0.075</v>
      </c>
      <c r="J196" s="2" t="b">
        <f t="shared" si="4"/>
        <v>1</v>
      </c>
    </row>
    <row r="197">
      <c r="A197" s="2" t="s">
        <v>240</v>
      </c>
      <c r="B197" s="2" t="s">
        <v>1205</v>
      </c>
      <c r="C197" s="8">
        <v>8691.89</v>
      </c>
      <c r="D197" s="8">
        <v>0.075</v>
      </c>
      <c r="E197" s="2">
        <f t="shared" si="1"/>
        <v>651.89</v>
      </c>
      <c r="F197" s="2" t="s">
        <v>1206</v>
      </c>
      <c r="G197" s="2">
        <f t="shared" si="2"/>
        <v>651.89</v>
      </c>
      <c r="H197" s="2" t="str">
        <f t="shared" si="3"/>
        <v>OK</v>
      </c>
      <c r="I197" s="2">
        <f t="array" ref="I197">IFERROR(XLOOKUP(XLOOKUP(A197, AP_Subledger!A:A, AP_Subledger!H:H), Tax_Rates_Reference!A:A, Tax_Rates_Reference!C:C), "")
</f>
        <v>0.075</v>
      </c>
      <c r="J197" s="2" t="b">
        <f t="shared" si="4"/>
        <v>1</v>
      </c>
    </row>
    <row r="198">
      <c r="A198" s="2" t="s">
        <v>241</v>
      </c>
      <c r="B198" s="2" t="s">
        <v>1205</v>
      </c>
      <c r="C198" s="8">
        <v>22487.05</v>
      </c>
      <c r="D198" s="8">
        <v>0.065</v>
      </c>
      <c r="E198" s="2">
        <f t="shared" si="1"/>
        <v>1461.66</v>
      </c>
      <c r="F198" s="2" t="s">
        <v>1206</v>
      </c>
      <c r="G198" s="2">
        <f t="shared" si="2"/>
        <v>1461.66</v>
      </c>
      <c r="H198" s="2" t="str">
        <f t="shared" si="3"/>
        <v>OK</v>
      </c>
      <c r="I198" s="2">
        <f t="array" ref="I198">IFERROR(XLOOKUP(XLOOKUP(A198, AP_Subledger!A:A, AP_Subledger!H:H), Tax_Rates_Reference!A:A, Tax_Rates_Reference!C:C), "")
</f>
        <v>0.065</v>
      </c>
      <c r="J198" s="2" t="b">
        <f t="shared" si="4"/>
        <v>1</v>
      </c>
    </row>
    <row r="199">
      <c r="A199" s="2" t="s">
        <v>242</v>
      </c>
      <c r="B199" s="2" t="s">
        <v>1205</v>
      </c>
      <c r="C199" s="8">
        <v>16643.64</v>
      </c>
      <c r="D199" s="8">
        <v>0.07</v>
      </c>
      <c r="E199" s="2">
        <f t="shared" si="1"/>
        <v>1165.05</v>
      </c>
      <c r="F199" s="2" t="s">
        <v>1206</v>
      </c>
      <c r="G199" s="2">
        <f t="shared" si="2"/>
        <v>1165.05</v>
      </c>
      <c r="H199" s="2" t="str">
        <f t="shared" si="3"/>
        <v>OK</v>
      </c>
      <c r="I199" s="2">
        <f t="array" ref="I199">IFERROR(XLOOKUP(XLOOKUP(A199, AP_Subledger!A:A, AP_Subledger!H:H), Tax_Rates_Reference!A:A, Tax_Rates_Reference!C:C), "")
</f>
        <v>0.07</v>
      </c>
      <c r="J199" s="2" t="b">
        <f t="shared" si="4"/>
        <v>1</v>
      </c>
    </row>
    <row r="200">
      <c r="A200" s="2" t="s">
        <v>243</v>
      </c>
      <c r="B200" s="2" t="s">
        <v>1205</v>
      </c>
      <c r="C200" s="8">
        <v>3050.66</v>
      </c>
      <c r="D200" s="8">
        <v>0.07</v>
      </c>
      <c r="E200" s="2">
        <f t="shared" si="1"/>
        <v>183.04</v>
      </c>
      <c r="F200" s="2" t="s">
        <v>1206</v>
      </c>
      <c r="G200" s="2">
        <f t="shared" si="2"/>
        <v>213.55</v>
      </c>
      <c r="H200" s="2" t="str">
        <f t="shared" si="3"/>
        <v>Mismatch</v>
      </c>
      <c r="I200" s="2">
        <f t="array" ref="I200">IFERROR(XLOOKUP(XLOOKUP(A200, AP_Subledger!A:A, AP_Subledger!H:H), Tax_Rates_Reference!A:A, Tax_Rates_Reference!C:C), "")
</f>
        <v>0.07</v>
      </c>
      <c r="J200" s="2" t="b">
        <f t="shared" si="4"/>
        <v>1</v>
      </c>
    </row>
    <row r="201">
      <c r="A201" s="2" t="s">
        <v>244</v>
      </c>
      <c r="B201" s="2" t="s">
        <v>1205</v>
      </c>
      <c r="C201" s="8">
        <v>18159.92</v>
      </c>
      <c r="D201" s="8">
        <v>0.065</v>
      </c>
      <c r="E201" s="2">
        <f t="shared" si="1"/>
        <v>1180.39</v>
      </c>
      <c r="F201" s="2" t="s">
        <v>1206</v>
      </c>
      <c r="G201" s="2">
        <f t="shared" si="2"/>
        <v>1180.39</v>
      </c>
      <c r="H201" s="2" t="str">
        <f t="shared" si="3"/>
        <v>OK</v>
      </c>
      <c r="I201" s="2">
        <f t="array" ref="I201">IFERROR(XLOOKUP(XLOOKUP(A201, AP_Subledger!A:A, AP_Subledger!H:H), Tax_Rates_Reference!A:A, Tax_Rates_Reference!C:C), "")
</f>
        <v>0.065</v>
      </c>
      <c r="J201" s="2" t="b">
        <f t="shared" si="4"/>
        <v>1</v>
      </c>
    </row>
    <row r="202">
      <c r="A202" s="2" t="s">
        <v>245</v>
      </c>
      <c r="B202" s="2" t="s">
        <v>1205</v>
      </c>
      <c r="C202" s="8">
        <v>24084.91</v>
      </c>
      <c r="D202" s="8">
        <v>0.065</v>
      </c>
      <c r="E202" s="2">
        <f t="shared" si="1"/>
        <v>1565.52</v>
      </c>
      <c r="F202" s="2" t="s">
        <v>1206</v>
      </c>
      <c r="G202" s="2">
        <f t="shared" si="2"/>
        <v>1565.52</v>
      </c>
      <c r="H202" s="2" t="str">
        <f t="shared" si="3"/>
        <v>OK</v>
      </c>
      <c r="I202" s="2">
        <f t="array" ref="I202">IFERROR(XLOOKUP(XLOOKUP(A202, AP_Subledger!A:A, AP_Subledger!H:H), Tax_Rates_Reference!A:A, Tax_Rates_Reference!C:C), "")
</f>
        <v>0.065</v>
      </c>
      <c r="J202" s="2" t="b">
        <f t="shared" si="4"/>
        <v>1</v>
      </c>
    </row>
    <row r="203">
      <c r="A203" s="2" t="s">
        <v>246</v>
      </c>
      <c r="B203" s="2" t="s">
        <v>1205</v>
      </c>
      <c r="C203" s="8">
        <v>7682.12</v>
      </c>
      <c r="D203" s="8">
        <v>0.065</v>
      </c>
      <c r="E203" s="2">
        <f t="shared" si="1"/>
        <v>422.52</v>
      </c>
      <c r="F203" s="2" t="s">
        <v>1206</v>
      </c>
      <c r="G203" s="2">
        <f t="shared" si="2"/>
        <v>499.34</v>
      </c>
      <c r="H203" s="2" t="str">
        <f t="shared" si="3"/>
        <v>Mismatch</v>
      </c>
      <c r="I203" s="2">
        <f t="array" ref="I203">IFERROR(XLOOKUP(XLOOKUP(A203, AP_Subledger!A:A, AP_Subledger!H:H), Tax_Rates_Reference!A:A, Tax_Rates_Reference!C:C), "")
</f>
        <v>0.065</v>
      </c>
      <c r="J203" s="2" t="b">
        <f t="shared" si="4"/>
        <v>1</v>
      </c>
    </row>
    <row r="204">
      <c r="A204" s="2" t="s">
        <v>247</v>
      </c>
      <c r="B204" s="2" t="s">
        <v>1205</v>
      </c>
      <c r="C204" s="8">
        <v>18529.66</v>
      </c>
      <c r="D204" s="8">
        <v>0.06</v>
      </c>
      <c r="E204" s="2">
        <f t="shared" si="1"/>
        <v>1111.78</v>
      </c>
      <c r="F204" s="2" t="s">
        <v>1206</v>
      </c>
      <c r="G204" s="2">
        <f t="shared" si="2"/>
        <v>1111.78</v>
      </c>
      <c r="H204" s="2" t="str">
        <f t="shared" si="3"/>
        <v>OK</v>
      </c>
      <c r="I204" s="2">
        <f t="array" ref="I204">IFERROR(XLOOKUP(XLOOKUP(A204, AP_Subledger!A:A, AP_Subledger!H:H), Tax_Rates_Reference!A:A, Tax_Rates_Reference!C:C), "")
</f>
        <v>0.06</v>
      </c>
      <c r="J204" s="2" t="b">
        <f t="shared" si="4"/>
        <v>1</v>
      </c>
    </row>
    <row r="205">
      <c r="A205" s="2" t="s">
        <v>248</v>
      </c>
      <c r="B205" s="2" t="s">
        <v>1205</v>
      </c>
      <c r="C205" s="8">
        <v>17746.68</v>
      </c>
      <c r="D205" s="8">
        <v>0.075</v>
      </c>
      <c r="E205" s="2">
        <f t="shared" si="1"/>
        <v>1331</v>
      </c>
      <c r="F205" s="2" t="s">
        <v>1206</v>
      </c>
      <c r="G205" s="2">
        <f t="shared" si="2"/>
        <v>1331</v>
      </c>
      <c r="H205" s="2" t="str">
        <f t="shared" si="3"/>
        <v>OK</v>
      </c>
      <c r="I205" s="2">
        <f t="array" ref="I205">IFERROR(XLOOKUP(XLOOKUP(A205, AP_Subledger!A:A, AP_Subledger!H:H), Tax_Rates_Reference!A:A, Tax_Rates_Reference!C:C), "")
</f>
        <v>0.075</v>
      </c>
      <c r="J205" s="2" t="b">
        <f t="shared" si="4"/>
        <v>1</v>
      </c>
    </row>
    <row r="206">
      <c r="A206" s="2" t="s">
        <v>249</v>
      </c>
      <c r="B206" s="2" t="s">
        <v>1205</v>
      </c>
      <c r="C206" s="8">
        <v>6855.87</v>
      </c>
      <c r="D206" s="8">
        <v>0.065</v>
      </c>
      <c r="E206" s="2">
        <f t="shared" si="1"/>
        <v>445.63</v>
      </c>
      <c r="F206" s="2" t="s">
        <v>1206</v>
      </c>
      <c r="G206" s="2">
        <f t="shared" si="2"/>
        <v>445.63</v>
      </c>
      <c r="H206" s="2" t="str">
        <f t="shared" si="3"/>
        <v>OK</v>
      </c>
      <c r="I206" s="2">
        <f t="array" ref="I206">IFERROR(XLOOKUP(XLOOKUP(A206, AP_Subledger!A:A, AP_Subledger!H:H), Tax_Rates_Reference!A:A, Tax_Rates_Reference!C:C), "")
</f>
        <v>0.065</v>
      </c>
      <c r="J206" s="2" t="b">
        <f t="shared" si="4"/>
        <v>1</v>
      </c>
    </row>
    <row r="207">
      <c r="A207" s="2" t="s">
        <v>250</v>
      </c>
      <c r="B207" s="2" t="s">
        <v>1205</v>
      </c>
      <c r="C207" s="8">
        <v>10530.59</v>
      </c>
      <c r="D207" s="8">
        <v>0.065</v>
      </c>
      <c r="E207" s="2">
        <f t="shared" si="1"/>
        <v>684.49</v>
      </c>
      <c r="F207" s="2" t="s">
        <v>1206</v>
      </c>
      <c r="G207" s="2">
        <f t="shared" si="2"/>
        <v>684.49</v>
      </c>
      <c r="H207" s="2" t="str">
        <f t="shared" si="3"/>
        <v>OK</v>
      </c>
      <c r="I207" s="2">
        <f t="array" ref="I207">IFERROR(XLOOKUP(XLOOKUP(A207, AP_Subledger!A:A, AP_Subledger!H:H), Tax_Rates_Reference!A:A, Tax_Rates_Reference!C:C), "")
</f>
        <v>0.065</v>
      </c>
      <c r="J207" s="2" t="b">
        <f t="shared" si="4"/>
        <v>1</v>
      </c>
    </row>
    <row r="208">
      <c r="A208" s="2" t="s">
        <v>251</v>
      </c>
      <c r="B208" s="2" t="s">
        <v>1205</v>
      </c>
      <c r="C208" s="8">
        <v>19208.34</v>
      </c>
      <c r="D208" s="8">
        <v>0.06</v>
      </c>
      <c r="E208" s="2">
        <f t="shared" si="1"/>
        <v>1152.5</v>
      </c>
      <c r="F208" s="2" t="s">
        <v>1206</v>
      </c>
      <c r="G208" s="2">
        <f t="shared" si="2"/>
        <v>1152.5</v>
      </c>
      <c r="H208" s="2" t="str">
        <f t="shared" si="3"/>
        <v>OK</v>
      </c>
      <c r="I208" s="2">
        <f t="array" ref="I208">IFERROR(XLOOKUP(XLOOKUP(A208, AP_Subledger!A:A, AP_Subledger!H:H), Tax_Rates_Reference!A:A, Tax_Rates_Reference!C:C), "")
</f>
        <v>0.06</v>
      </c>
      <c r="J208" s="2" t="b">
        <f t="shared" si="4"/>
        <v>1</v>
      </c>
    </row>
    <row r="209">
      <c r="A209" s="2" t="s">
        <v>252</v>
      </c>
      <c r="B209" s="2" t="s">
        <v>1205</v>
      </c>
      <c r="C209" s="8">
        <v>12041.1</v>
      </c>
      <c r="D209" s="8">
        <v>0.07</v>
      </c>
      <c r="E209" s="2">
        <f t="shared" si="1"/>
        <v>842.88</v>
      </c>
      <c r="F209" s="2" t="s">
        <v>1206</v>
      </c>
      <c r="G209" s="2">
        <f t="shared" si="2"/>
        <v>842.88</v>
      </c>
      <c r="H209" s="2" t="str">
        <f t="shared" si="3"/>
        <v>OK</v>
      </c>
      <c r="I209" s="2">
        <f t="array" ref="I209">IFERROR(XLOOKUP(XLOOKUP(A209, AP_Subledger!A:A, AP_Subledger!H:H), Tax_Rates_Reference!A:A, Tax_Rates_Reference!C:C), "")
</f>
        <v>0.07</v>
      </c>
      <c r="J209" s="2" t="b">
        <f t="shared" si="4"/>
        <v>1</v>
      </c>
    </row>
    <row r="210">
      <c r="A210" s="2" t="s">
        <v>253</v>
      </c>
      <c r="B210" s="2" t="s">
        <v>1205</v>
      </c>
      <c r="C210" s="8">
        <v>16020.22</v>
      </c>
      <c r="D210" s="8">
        <v>0.07</v>
      </c>
      <c r="E210" s="2">
        <f t="shared" si="1"/>
        <v>1121.42</v>
      </c>
      <c r="F210" s="2" t="s">
        <v>1206</v>
      </c>
      <c r="G210" s="2">
        <f t="shared" si="2"/>
        <v>1121.42</v>
      </c>
      <c r="H210" s="2" t="str">
        <f t="shared" si="3"/>
        <v>OK</v>
      </c>
      <c r="I210" s="2">
        <f t="array" ref="I210">IFERROR(XLOOKUP(XLOOKUP(A210, AP_Subledger!A:A, AP_Subledger!H:H), Tax_Rates_Reference!A:A, Tax_Rates_Reference!C:C), "")
</f>
        <v>0.07</v>
      </c>
      <c r="J210" s="2" t="b">
        <f t="shared" si="4"/>
        <v>1</v>
      </c>
    </row>
    <row r="211">
      <c r="A211" s="2" t="s">
        <v>254</v>
      </c>
      <c r="B211" s="2" t="s">
        <v>1205</v>
      </c>
      <c r="C211" s="8">
        <v>3740.77</v>
      </c>
      <c r="D211" s="8">
        <v>0.06</v>
      </c>
      <c r="E211" s="2">
        <f t="shared" si="1"/>
        <v>448.89</v>
      </c>
      <c r="F211" s="2" t="s">
        <v>1206</v>
      </c>
      <c r="G211" s="2">
        <f t="shared" si="2"/>
        <v>224.45</v>
      </c>
      <c r="H211" s="2" t="str">
        <f t="shared" si="3"/>
        <v>Mismatch</v>
      </c>
      <c r="I211" s="2">
        <f t="array" ref="I211">IFERROR(XLOOKUP(XLOOKUP(A211, AP_Subledger!A:A, AP_Subledger!H:H), Tax_Rates_Reference!A:A, Tax_Rates_Reference!C:C), "")
</f>
        <v>0.06</v>
      </c>
      <c r="J211" s="2" t="b">
        <f t="shared" si="4"/>
        <v>1</v>
      </c>
    </row>
    <row r="212">
      <c r="A212" s="2" t="s">
        <v>255</v>
      </c>
      <c r="B212" s="2" t="s">
        <v>1205</v>
      </c>
      <c r="C212" s="8">
        <v>950.57</v>
      </c>
      <c r="D212" s="8">
        <v>0.065</v>
      </c>
      <c r="E212" s="2">
        <f t="shared" si="1"/>
        <v>61.79</v>
      </c>
      <c r="F212" s="2" t="s">
        <v>1206</v>
      </c>
      <c r="G212" s="2">
        <f t="shared" si="2"/>
        <v>61.79</v>
      </c>
      <c r="H212" s="2" t="str">
        <f t="shared" si="3"/>
        <v>OK</v>
      </c>
      <c r="I212" s="2">
        <f t="array" ref="I212">IFERROR(XLOOKUP(XLOOKUP(A212, AP_Subledger!A:A, AP_Subledger!H:H), Tax_Rates_Reference!A:A, Tax_Rates_Reference!C:C), "")
</f>
        <v>0.065</v>
      </c>
      <c r="J212" s="2" t="b">
        <f t="shared" si="4"/>
        <v>1</v>
      </c>
    </row>
    <row r="213">
      <c r="A213" s="2" t="s">
        <v>256</v>
      </c>
      <c r="B213" s="2" t="s">
        <v>1205</v>
      </c>
      <c r="C213" s="8">
        <v>12703.22</v>
      </c>
      <c r="D213" s="8">
        <v>0.07</v>
      </c>
      <c r="E213" s="2">
        <f t="shared" si="1"/>
        <v>889.23</v>
      </c>
      <c r="F213" s="2" t="s">
        <v>1206</v>
      </c>
      <c r="G213" s="2">
        <f t="shared" si="2"/>
        <v>889.23</v>
      </c>
      <c r="H213" s="2" t="str">
        <f t="shared" si="3"/>
        <v>OK</v>
      </c>
      <c r="I213" s="2">
        <f t="array" ref="I213">IFERROR(XLOOKUP(XLOOKUP(A213, AP_Subledger!A:A, AP_Subledger!H:H), Tax_Rates_Reference!A:A, Tax_Rates_Reference!C:C), "")
</f>
        <v>0.07</v>
      </c>
      <c r="J213" s="2" t="b">
        <f t="shared" si="4"/>
        <v>1</v>
      </c>
    </row>
    <row r="214">
      <c r="A214" s="2" t="s">
        <v>257</v>
      </c>
      <c r="B214" s="2" t="s">
        <v>1205</v>
      </c>
      <c r="C214" s="8">
        <v>18144.96</v>
      </c>
      <c r="D214" s="8">
        <v>0.07</v>
      </c>
      <c r="E214" s="2">
        <f t="shared" si="1"/>
        <v>1270.15</v>
      </c>
      <c r="F214" s="2" t="s">
        <v>1206</v>
      </c>
      <c r="G214" s="2">
        <f t="shared" si="2"/>
        <v>1270.15</v>
      </c>
      <c r="H214" s="2" t="str">
        <f t="shared" si="3"/>
        <v>OK</v>
      </c>
      <c r="I214" s="2">
        <f t="array" ref="I214">IFERROR(XLOOKUP(XLOOKUP(A214, AP_Subledger!A:A, AP_Subledger!H:H), Tax_Rates_Reference!A:A, Tax_Rates_Reference!C:C), "")
</f>
        <v>0.07</v>
      </c>
      <c r="J214" s="2" t="b">
        <f t="shared" si="4"/>
        <v>1</v>
      </c>
    </row>
    <row r="215">
      <c r="A215" s="2" t="s">
        <v>258</v>
      </c>
      <c r="B215" s="2" t="s">
        <v>1205</v>
      </c>
      <c r="C215" s="8">
        <v>18438.52</v>
      </c>
      <c r="D215" s="8">
        <v>0.075</v>
      </c>
      <c r="E215" s="2">
        <f t="shared" si="1"/>
        <v>1382.89</v>
      </c>
      <c r="F215" s="2" t="s">
        <v>1206</v>
      </c>
      <c r="G215" s="2">
        <f t="shared" si="2"/>
        <v>1382.89</v>
      </c>
      <c r="H215" s="2" t="str">
        <f t="shared" si="3"/>
        <v>OK</v>
      </c>
      <c r="I215" s="2">
        <f t="array" ref="I215">IFERROR(XLOOKUP(XLOOKUP(A215, AP_Subledger!A:A, AP_Subledger!H:H), Tax_Rates_Reference!A:A, Tax_Rates_Reference!C:C), "")
</f>
        <v>0.075</v>
      </c>
      <c r="J215" s="2" t="b">
        <f t="shared" si="4"/>
        <v>1</v>
      </c>
    </row>
    <row r="216">
      <c r="A216" s="2" t="s">
        <v>259</v>
      </c>
      <c r="B216" s="2" t="s">
        <v>1205</v>
      </c>
      <c r="C216" s="8">
        <v>10407.35</v>
      </c>
      <c r="D216" s="8">
        <v>0.06</v>
      </c>
      <c r="E216" s="2">
        <f t="shared" si="1"/>
        <v>728.51</v>
      </c>
      <c r="F216" s="2" t="s">
        <v>1206</v>
      </c>
      <c r="G216" s="2">
        <f t="shared" si="2"/>
        <v>624.44</v>
      </c>
      <c r="H216" s="2" t="str">
        <f t="shared" si="3"/>
        <v>Mismatch</v>
      </c>
      <c r="I216" s="2">
        <f t="array" ref="I216">IFERROR(XLOOKUP(XLOOKUP(A216, AP_Subledger!A:A, AP_Subledger!H:H), Tax_Rates_Reference!A:A, Tax_Rates_Reference!C:C), "")
</f>
        <v>0.06</v>
      </c>
      <c r="J216" s="2" t="b">
        <f t="shared" si="4"/>
        <v>1</v>
      </c>
    </row>
    <row r="217">
      <c r="A217" s="2" t="s">
        <v>260</v>
      </c>
      <c r="B217" s="2" t="s">
        <v>1205</v>
      </c>
      <c r="C217" s="8">
        <v>23986.37</v>
      </c>
      <c r="D217" s="8">
        <v>0.075</v>
      </c>
      <c r="E217" s="2">
        <f t="shared" si="1"/>
        <v>1798.98</v>
      </c>
      <c r="F217" s="2" t="s">
        <v>1206</v>
      </c>
      <c r="G217" s="2">
        <f t="shared" si="2"/>
        <v>1798.98</v>
      </c>
      <c r="H217" s="2" t="str">
        <f t="shared" si="3"/>
        <v>OK</v>
      </c>
      <c r="I217" s="2">
        <f t="array" ref="I217">IFERROR(XLOOKUP(XLOOKUP(A217, AP_Subledger!A:A, AP_Subledger!H:H), Tax_Rates_Reference!A:A, Tax_Rates_Reference!C:C), "")
</f>
        <v>0.075</v>
      </c>
      <c r="J217" s="2" t="b">
        <f t="shared" si="4"/>
        <v>1</v>
      </c>
    </row>
    <row r="218">
      <c r="A218" s="2" t="s">
        <v>261</v>
      </c>
      <c r="B218" s="2" t="s">
        <v>1205</v>
      </c>
      <c r="C218" s="8">
        <v>2172.12</v>
      </c>
      <c r="D218" s="8">
        <v>0.065</v>
      </c>
      <c r="E218" s="2">
        <f t="shared" si="1"/>
        <v>141.19</v>
      </c>
      <c r="F218" s="2" t="s">
        <v>1206</v>
      </c>
      <c r="G218" s="2">
        <f t="shared" si="2"/>
        <v>141.19</v>
      </c>
      <c r="H218" s="2" t="str">
        <f t="shared" si="3"/>
        <v>OK</v>
      </c>
      <c r="I218" s="2">
        <f t="array" ref="I218">IFERROR(XLOOKUP(XLOOKUP(A218, AP_Subledger!A:A, AP_Subledger!H:H), Tax_Rates_Reference!A:A, Tax_Rates_Reference!C:C), "")
</f>
        <v>0.065</v>
      </c>
      <c r="J218" s="2" t="b">
        <f t="shared" si="4"/>
        <v>1</v>
      </c>
    </row>
    <row r="219">
      <c r="A219" s="2" t="s">
        <v>262</v>
      </c>
      <c r="B219" s="2" t="s">
        <v>1205</v>
      </c>
      <c r="C219" s="8">
        <v>7779.48</v>
      </c>
      <c r="D219" s="8">
        <v>0.07</v>
      </c>
      <c r="E219" s="2">
        <f t="shared" si="1"/>
        <v>544.56</v>
      </c>
      <c r="F219" s="2" t="s">
        <v>1206</v>
      </c>
      <c r="G219" s="2">
        <f t="shared" si="2"/>
        <v>544.56</v>
      </c>
      <c r="H219" s="2" t="str">
        <f t="shared" si="3"/>
        <v>OK</v>
      </c>
      <c r="I219" s="2">
        <f t="array" ref="I219">IFERROR(XLOOKUP(XLOOKUP(A219, AP_Subledger!A:A, AP_Subledger!H:H), Tax_Rates_Reference!A:A, Tax_Rates_Reference!C:C), "")
</f>
        <v>0.07</v>
      </c>
      <c r="J219" s="2" t="b">
        <f t="shared" si="4"/>
        <v>1</v>
      </c>
    </row>
    <row r="220">
      <c r="A220" s="2" t="s">
        <v>263</v>
      </c>
      <c r="B220" s="2" t="s">
        <v>1205</v>
      </c>
      <c r="C220" s="8">
        <v>3807.53</v>
      </c>
      <c r="D220" s="8">
        <v>0.065</v>
      </c>
      <c r="E220" s="2">
        <f t="shared" si="1"/>
        <v>247.49</v>
      </c>
      <c r="F220" s="2" t="s">
        <v>1206</v>
      </c>
      <c r="G220" s="2">
        <f t="shared" si="2"/>
        <v>247.49</v>
      </c>
      <c r="H220" s="2" t="str">
        <f t="shared" si="3"/>
        <v>OK</v>
      </c>
      <c r="I220" s="2">
        <f t="array" ref="I220">IFERROR(XLOOKUP(XLOOKUP(A220, AP_Subledger!A:A, AP_Subledger!H:H), Tax_Rates_Reference!A:A, Tax_Rates_Reference!C:C), "")
</f>
        <v>0.065</v>
      </c>
      <c r="J220" s="2" t="b">
        <f t="shared" si="4"/>
        <v>1</v>
      </c>
    </row>
    <row r="221">
      <c r="A221" s="2" t="s">
        <v>264</v>
      </c>
      <c r="B221" s="2" t="s">
        <v>1205</v>
      </c>
      <c r="C221" s="8">
        <v>15079.41</v>
      </c>
      <c r="D221" s="8">
        <v>0.065</v>
      </c>
      <c r="E221" s="2">
        <f t="shared" si="1"/>
        <v>980.16</v>
      </c>
      <c r="F221" s="2" t="s">
        <v>1206</v>
      </c>
      <c r="G221" s="2">
        <f t="shared" si="2"/>
        <v>980.16</v>
      </c>
      <c r="H221" s="2" t="str">
        <f t="shared" si="3"/>
        <v>OK</v>
      </c>
      <c r="I221" s="2">
        <f t="array" ref="I221">IFERROR(XLOOKUP(XLOOKUP(A221, AP_Subledger!A:A, AP_Subledger!H:H), Tax_Rates_Reference!A:A, Tax_Rates_Reference!C:C), "")
</f>
        <v>0.065</v>
      </c>
      <c r="J221" s="2" t="b">
        <f t="shared" si="4"/>
        <v>1</v>
      </c>
    </row>
    <row r="222">
      <c r="A222" s="2" t="s">
        <v>265</v>
      </c>
      <c r="B222" s="2" t="s">
        <v>1205</v>
      </c>
      <c r="C222" s="8">
        <v>15771.65</v>
      </c>
      <c r="D222" s="8">
        <v>0.075</v>
      </c>
      <c r="E222" s="2">
        <f t="shared" si="1"/>
        <v>1182.87</v>
      </c>
      <c r="F222" s="2" t="s">
        <v>1206</v>
      </c>
      <c r="G222" s="2">
        <f t="shared" si="2"/>
        <v>1182.87</v>
      </c>
      <c r="H222" s="2" t="str">
        <f t="shared" si="3"/>
        <v>OK</v>
      </c>
      <c r="I222" s="2">
        <f t="array" ref="I222">IFERROR(XLOOKUP(XLOOKUP(A222, AP_Subledger!A:A, AP_Subledger!H:H), Tax_Rates_Reference!A:A, Tax_Rates_Reference!C:C), "")
</f>
        <v>0.075</v>
      </c>
      <c r="J222" s="2" t="b">
        <f t="shared" si="4"/>
        <v>1</v>
      </c>
    </row>
    <row r="223">
      <c r="A223" s="2" t="s">
        <v>266</v>
      </c>
      <c r="B223" s="2" t="s">
        <v>1205</v>
      </c>
      <c r="C223" s="8">
        <v>17770.68</v>
      </c>
      <c r="D223" s="8">
        <v>0.075</v>
      </c>
      <c r="E223" s="2">
        <f t="shared" si="1"/>
        <v>1332.8</v>
      </c>
      <c r="F223" s="2" t="s">
        <v>1206</v>
      </c>
      <c r="G223" s="2">
        <f t="shared" si="2"/>
        <v>1332.8</v>
      </c>
      <c r="H223" s="2" t="str">
        <f t="shared" si="3"/>
        <v>OK</v>
      </c>
      <c r="I223" s="2">
        <f t="array" ref="I223">IFERROR(XLOOKUP(XLOOKUP(A223, AP_Subledger!A:A, AP_Subledger!H:H), Tax_Rates_Reference!A:A, Tax_Rates_Reference!C:C), "")
</f>
        <v>0.075</v>
      </c>
      <c r="J223" s="2" t="b">
        <f t="shared" si="4"/>
        <v>1</v>
      </c>
    </row>
    <row r="224">
      <c r="A224" s="2" t="s">
        <v>267</v>
      </c>
      <c r="B224" s="2" t="s">
        <v>1205</v>
      </c>
      <c r="C224" s="8">
        <v>2405.25</v>
      </c>
      <c r="D224" s="8">
        <v>0.065</v>
      </c>
      <c r="E224" s="2">
        <f t="shared" si="1"/>
        <v>156.34</v>
      </c>
      <c r="F224" s="2" t="s">
        <v>1206</v>
      </c>
      <c r="G224" s="2">
        <f t="shared" si="2"/>
        <v>156.34</v>
      </c>
      <c r="H224" s="2" t="str">
        <f t="shared" si="3"/>
        <v>OK</v>
      </c>
      <c r="I224" s="2">
        <f t="array" ref="I224">IFERROR(XLOOKUP(XLOOKUP(A224, AP_Subledger!A:A, AP_Subledger!H:H), Tax_Rates_Reference!A:A, Tax_Rates_Reference!C:C), "")
</f>
        <v>0.065</v>
      </c>
      <c r="J224" s="2" t="b">
        <f t="shared" si="4"/>
        <v>1</v>
      </c>
    </row>
    <row r="225">
      <c r="A225" s="2" t="s">
        <v>268</v>
      </c>
      <c r="B225" s="2" t="s">
        <v>1205</v>
      </c>
      <c r="C225" s="8">
        <v>9343.86</v>
      </c>
      <c r="D225" s="8">
        <v>0.06</v>
      </c>
      <c r="E225" s="2">
        <f t="shared" si="1"/>
        <v>0</v>
      </c>
      <c r="F225" s="2" t="s">
        <v>1206</v>
      </c>
      <c r="G225" s="2">
        <f t="shared" si="2"/>
        <v>560.63</v>
      </c>
      <c r="H225" s="2" t="str">
        <f t="shared" si="3"/>
        <v>Mismatch</v>
      </c>
      <c r="I225" s="2">
        <f t="array" ref="I225">IFERROR(XLOOKUP(XLOOKUP(A225, AP_Subledger!A:A, AP_Subledger!H:H), Tax_Rates_Reference!A:A, Tax_Rates_Reference!C:C), "")
</f>
        <v>0.06</v>
      </c>
      <c r="J225" s="2" t="b">
        <f t="shared" si="4"/>
        <v>1</v>
      </c>
    </row>
    <row r="226">
      <c r="A226" s="2" t="s">
        <v>269</v>
      </c>
      <c r="B226" s="2" t="s">
        <v>1205</v>
      </c>
      <c r="C226" s="8">
        <v>11427.14</v>
      </c>
      <c r="D226" s="8">
        <v>0.06</v>
      </c>
      <c r="E226" s="2">
        <f t="shared" si="1"/>
        <v>685.63</v>
      </c>
      <c r="F226" s="2" t="s">
        <v>1206</v>
      </c>
      <c r="G226" s="2">
        <f t="shared" si="2"/>
        <v>685.63</v>
      </c>
      <c r="H226" s="2" t="str">
        <f t="shared" si="3"/>
        <v>OK</v>
      </c>
      <c r="I226" s="2">
        <f t="array" ref="I226">IFERROR(XLOOKUP(XLOOKUP(A226, AP_Subledger!A:A, AP_Subledger!H:H), Tax_Rates_Reference!A:A, Tax_Rates_Reference!C:C), "")
</f>
        <v>0.06</v>
      </c>
      <c r="J226" s="2" t="b">
        <f t="shared" si="4"/>
        <v>1</v>
      </c>
    </row>
    <row r="227">
      <c r="A227" s="2" t="s">
        <v>270</v>
      </c>
      <c r="B227" s="2" t="s">
        <v>1205</v>
      </c>
      <c r="C227" s="8">
        <v>18439.51</v>
      </c>
      <c r="D227" s="8">
        <v>0.06</v>
      </c>
      <c r="E227" s="2">
        <f t="shared" si="1"/>
        <v>1106.37</v>
      </c>
      <c r="F227" s="2" t="s">
        <v>1206</v>
      </c>
      <c r="G227" s="2">
        <f t="shared" si="2"/>
        <v>1106.37</v>
      </c>
      <c r="H227" s="2" t="str">
        <f t="shared" si="3"/>
        <v>OK</v>
      </c>
      <c r="I227" s="2">
        <f t="array" ref="I227">IFERROR(XLOOKUP(XLOOKUP(A227, AP_Subledger!A:A, AP_Subledger!H:H), Tax_Rates_Reference!A:A, Tax_Rates_Reference!C:C), "")
</f>
        <v>0.06</v>
      </c>
      <c r="J227" s="2" t="b">
        <f t="shared" si="4"/>
        <v>1</v>
      </c>
    </row>
    <row r="228">
      <c r="A228" s="2" t="s">
        <v>271</v>
      </c>
      <c r="B228" s="2" t="s">
        <v>1205</v>
      </c>
      <c r="C228" s="8">
        <v>17482.79</v>
      </c>
      <c r="D228" s="8">
        <v>0.065</v>
      </c>
      <c r="E228" s="2">
        <f t="shared" si="1"/>
        <v>1136.38</v>
      </c>
      <c r="F228" s="2" t="s">
        <v>1206</v>
      </c>
      <c r="G228" s="2">
        <f t="shared" si="2"/>
        <v>1136.38</v>
      </c>
      <c r="H228" s="2" t="str">
        <f t="shared" si="3"/>
        <v>OK</v>
      </c>
      <c r="I228" s="2">
        <f t="array" ref="I228">IFERROR(XLOOKUP(XLOOKUP(A228, AP_Subledger!A:A, AP_Subledger!H:H), Tax_Rates_Reference!A:A, Tax_Rates_Reference!C:C), "")
</f>
        <v>0.065</v>
      </c>
      <c r="J228" s="2" t="b">
        <f t="shared" si="4"/>
        <v>1</v>
      </c>
    </row>
    <row r="229">
      <c r="A229" s="2" t="s">
        <v>272</v>
      </c>
      <c r="B229" s="2" t="s">
        <v>1205</v>
      </c>
      <c r="C229" s="8">
        <v>14912.46</v>
      </c>
      <c r="D229" s="8">
        <v>0.065</v>
      </c>
      <c r="E229" s="2">
        <f t="shared" si="1"/>
        <v>969.31</v>
      </c>
      <c r="F229" s="2" t="s">
        <v>1206</v>
      </c>
      <c r="G229" s="2">
        <f t="shared" si="2"/>
        <v>969.31</v>
      </c>
      <c r="H229" s="2" t="str">
        <f t="shared" si="3"/>
        <v>OK</v>
      </c>
      <c r="I229" s="2">
        <f t="array" ref="I229">IFERROR(XLOOKUP(XLOOKUP(A229, AP_Subledger!A:A, AP_Subledger!H:H), Tax_Rates_Reference!A:A, Tax_Rates_Reference!C:C), "")
</f>
        <v>0.065</v>
      </c>
      <c r="J229" s="2" t="b">
        <f t="shared" si="4"/>
        <v>1</v>
      </c>
    </row>
    <row r="230">
      <c r="A230" s="2" t="s">
        <v>273</v>
      </c>
      <c r="B230" s="2" t="s">
        <v>1205</v>
      </c>
      <c r="C230" s="8">
        <v>22929.46</v>
      </c>
      <c r="D230" s="8">
        <v>0.07</v>
      </c>
      <c r="E230" s="2">
        <f t="shared" si="1"/>
        <v>1605.06</v>
      </c>
      <c r="F230" s="2" t="s">
        <v>1206</v>
      </c>
      <c r="G230" s="2">
        <f t="shared" si="2"/>
        <v>1605.06</v>
      </c>
      <c r="H230" s="2" t="str">
        <f t="shared" si="3"/>
        <v>OK</v>
      </c>
      <c r="I230" s="2">
        <f t="array" ref="I230">IFERROR(XLOOKUP(XLOOKUP(A230, AP_Subledger!A:A, AP_Subledger!H:H), Tax_Rates_Reference!A:A, Tax_Rates_Reference!C:C), "")
</f>
        <v>0.07</v>
      </c>
      <c r="J230" s="2" t="b">
        <f t="shared" si="4"/>
        <v>1</v>
      </c>
    </row>
    <row r="231">
      <c r="A231" s="2" t="s">
        <v>274</v>
      </c>
      <c r="B231" s="2" t="s">
        <v>1205</v>
      </c>
      <c r="C231" s="8">
        <v>3324.41</v>
      </c>
      <c r="D231" s="8">
        <v>0.07</v>
      </c>
      <c r="E231" s="2">
        <f t="shared" si="1"/>
        <v>232.71</v>
      </c>
      <c r="F231" s="2" t="s">
        <v>1206</v>
      </c>
      <c r="G231" s="2">
        <f t="shared" si="2"/>
        <v>232.71</v>
      </c>
      <c r="H231" s="2" t="str">
        <f t="shared" si="3"/>
        <v>OK</v>
      </c>
      <c r="I231" s="2">
        <f t="array" ref="I231">IFERROR(XLOOKUP(XLOOKUP(A231, AP_Subledger!A:A, AP_Subledger!H:H), Tax_Rates_Reference!A:A, Tax_Rates_Reference!C:C), "")
</f>
        <v>0.07</v>
      </c>
      <c r="J231" s="2" t="b">
        <f t="shared" si="4"/>
        <v>1</v>
      </c>
    </row>
    <row r="232">
      <c r="A232" s="2" t="s">
        <v>275</v>
      </c>
      <c r="B232" s="2" t="s">
        <v>1205</v>
      </c>
      <c r="C232" s="8">
        <v>15108.61</v>
      </c>
      <c r="D232" s="8">
        <v>0.09</v>
      </c>
      <c r="E232" s="2">
        <f t="shared" si="1"/>
        <v>1359.77</v>
      </c>
      <c r="F232" s="2" t="s">
        <v>1206</v>
      </c>
      <c r="G232" s="2">
        <f t="shared" si="2"/>
        <v>1359.77</v>
      </c>
      <c r="H232" s="2" t="str">
        <f t="shared" si="3"/>
        <v>OK</v>
      </c>
      <c r="I232" s="2">
        <f t="array" ref="I232">IFERROR(XLOOKUP(XLOOKUP(A232, AP_Subledger!A:A, AP_Subledger!H:H), Tax_Rates_Reference!A:A, Tax_Rates_Reference!C:C), "")
</f>
        <v>0.07</v>
      </c>
      <c r="J232" s="2" t="b">
        <f t="shared" si="4"/>
        <v>0</v>
      </c>
    </row>
    <row r="233">
      <c r="A233" s="2" t="s">
        <v>276</v>
      </c>
      <c r="B233" s="2" t="s">
        <v>1205</v>
      </c>
      <c r="C233" s="8">
        <v>17559.08</v>
      </c>
      <c r="D233" s="8">
        <v>0.065</v>
      </c>
      <c r="E233" s="2">
        <f t="shared" si="1"/>
        <v>1141.34</v>
      </c>
      <c r="F233" s="2" t="s">
        <v>1206</v>
      </c>
      <c r="G233" s="2">
        <f t="shared" si="2"/>
        <v>1141.34</v>
      </c>
      <c r="H233" s="2" t="str">
        <f t="shared" si="3"/>
        <v>OK</v>
      </c>
      <c r="I233" s="2">
        <f t="array" ref="I233">IFERROR(XLOOKUP(XLOOKUP(A233, AP_Subledger!A:A, AP_Subledger!H:H), Tax_Rates_Reference!A:A, Tax_Rates_Reference!C:C), "")
</f>
        <v>0.065</v>
      </c>
      <c r="J233" s="2" t="b">
        <f t="shared" si="4"/>
        <v>1</v>
      </c>
    </row>
    <row r="234">
      <c r="A234" s="2" t="s">
        <v>277</v>
      </c>
      <c r="B234" s="2" t="s">
        <v>1205</v>
      </c>
      <c r="C234" s="8">
        <v>20197.44</v>
      </c>
      <c r="D234" s="8">
        <v>0.07</v>
      </c>
      <c r="E234" s="2">
        <f t="shared" si="1"/>
        <v>1413.82</v>
      </c>
      <c r="F234" s="2" t="s">
        <v>1206</v>
      </c>
      <c r="G234" s="2">
        <f t="shared" si="2"/>
        <v>1413.82</v>
      </c>
      <c r="H234" s="2" t="str">
        <f t="shared" si="3"/>
        <v>OK</v>
      </c>
      <c r="I234" s="2">
        <f t="array" ref="I234">IFERROR(XLOOKUP(XLOOKUP(A234, AP_Subledger!A:A, AP_Subledger!H:H), Tax_Rates_Reference!A:A, Tax_Rates_Reference!C:C), "")
</f>
        <v>0.07</v>
      </c>
      <c r="J234" s="2" t="b">
        <f t="shared" si="4"/>
        <v>1</v>
      </c>
    </row>
    <row r="235">
      <c r="A235" s="2" t="s">
        <v>278</v>
      </c>
      <c r="B235" s="2" t="s">
        <v>1205</v>
      </c>
      <c r="C235" s="8">
        <v>10957.02</v>
      </c>
      <c r="D235" s="8">
        <v>0.065</v>
      </c>
      <c r="E235" s="2">
        <f t="shared" si="1"/>
        <v>712.21</v>
      </c>
      <c r="F235" s="2" t="s">
        <v>1206</v>
      </c>
      <c r="G235" s="2">
        <f t="shared" si="2"/>
        <v>712.21</v>
      </c>
      <c r="H235" s="2" t="str">
        <f t="shared" si="3"/>
        <v>OK</v>
      </c>
      <c r="I235" s="2">
        <f t="array" ref="I235">IFERROR(XLOOKUP(XLOOKUP(A235, AP_Subledger!A:A, AP_Subledger!H:H), Tax_Rates_Reference!A:A, Tax_Rates_Reference!C:C), "")
</f>
        <v>0.065</v>
      </c>
      <c r="J235" s="2" t="b">
        <f t="shared" si="4"/>
        <v>1</v>
      </c>
    </row>
    <row r="236">
      <c r="A236" s="2" t="s">
        <v>279</v>
      </c>
      <c r="B236" s="2" t="s">
        <v>1205</v>
      </c>
      <c r="C236" s="8">
        <v>24763.36</v>
      </c>
      <c r="D236" s="8">
        <v>0.065</v>
      </c>
      <c r="E236" s="2">
        <f t="shared" si="1"/>
        <v>1857.25</v>
      </c>
      <c r="F236" s="2" t="s">
        <v>1206</v>
      </c>
      <c r="G236" s="2">
        <f t="shared" si="2"/>
        <v>1609.62</v>
      </c>
      <c r="H236" s="2" t="str">
        <f t="shared" si="3"/>
        <v>Mismatch</v>
      </c>
      <c r="I236" s="2">
        <f t="array" ref="I236">IFERROR(XLOOKUP(XLOOKUP(A236, AP_Subledger!A:A, AP_Subledger!H:H), Tax_Rates_Reference!A:A, Tax_Rates_Reference!C:C), "")
</f>
        <v>0.065</v>
      </c>
      <c r="J236" s="2" t="b">
        <f t="shared" si="4"/>
        <v>1</v>
      </c>
    </row>
    <row r="237">
      <c r="A237" s="2" t="s">
        <v>280</v>
      </c>
      <c r="B237" s="2" t="s">
        <v>1205</v>
      </c>
      <c r="C237" s="8">
        <v>23348.45</v>
      </c>
      <c r="D237" s="8">
        <v>0.075</v>
      </c>
      <c r="E237" s="2">
        <f t="shared" si="1"/>
        <v>1751.13</v>
      </c>
      <c r="F237" s="2" t="s">
        <v>1206</v>
      </c>
      <c r="G237" s="2">
        <f t="shared" si="2"/>
        <v>1751.13</v>
      </c>
      <c r="H237" s="2" t="str">
        <f t="shared" si="3"/>
        <v>OK</v>
      </c>
      <c r="I237" s="2">
        <f t="array" ref="I237">IFERROR(XLOOKUP(XLOOKUP(A237, AP_Subledger!A:A, AP_Subledger!H:H), Tax_Rates_Reference!A:A, Tax_Rates_Reference!C:C), "")
</f>
        <v>0.075</v>
      </c>
      <c r="J237" s="2" t="b">
        <f t="shared" si="4"/>
        <v>1</v>
      </c>
    </row>
    <row r="238">
      <c r="A238" s="2" t="s">
        <v>281</v>
      </c>
      <c r="B238" s="2" t="s">
        <v>1205</v>
      </c>
      <c r="C238" s="8">
        <v>10347.31</v>
      </c>
      <c r="D238" s="8">
        <v>0.06</v>
      </c>
      <c r="E238" s="2">
        <f t="shared" si="1"/>
        <v>620.84</v>
      </c>
      <c r="F238" s="2" t="s">
        <v>1206</v>
      </c>
      <c r="G238" s="2">
        <f t="shared" si="2"/>
        <v>620.84</v>
      </c>
      <c r="H238" s="2" t="str">
        <f t="shared" si="3"/>
        <v>OK</v>
      </c>
      <c r="I238" s="2">
        <f t="array" ref="I238">IFERROR(XLOOKUP(XLOOKUP(A238, AP_Subledger!A:A, AP_Subledger!H:H), Tax_Rates_Reference!A:A, Tax_Rates_Reference!C:C), "")
</f>
        <v>0.06</v>
      </c>
      <c r="J238" s="2" t="b">
        <f t="shared" si="4"/>
        <v>1</v>
      </c>
    </row>
    <row r="239">
      <c r="A239" s="2" t="s">
        <v>282</v>
      </c>
      <c r="B239" s="2" t="s">
        <v>1205</v>
      </c>
      <c r="C239" s="8">
        <v>24610.04</v>
      </c>
      <c r="D239" s="8">
        <v>0.065</v>
      </c>
      <c r="E239" s="2">
        <f t="shared" si="1"/>
        <v>1599.65</v>
      </c>
      <c r="F239" s="2" t="s">
        <v>1206</v>
      </c>
      <c r="G239" s="2">
        <f t="shared" si="2"/>
        <v>1599.65</v>
      </c>
      <c r="H239" s="2" t="str">
        <f t="shared" si="3"/>
        <v>OK</v>
      </c>
      <c r="I239" s="2">
        <f t="array" ref="I239">IFERROR(XLOOKUP(XLOOKUP(A239, AP_Subledger!A:A, AP_Subledger!H:H), Tax_Rates_Reference!A:A, Tax_Rates_Reference!C:C), "")
</f>
        <v>0.065</v>
      </c>
      <c r="J239" s="2" t="b">
        <f t="shared" si="4"/>
        <v>1</v>
      </c>
    </row>
    <row r="240">
      <c r="A240" s="2" t="s">
        <v>283</v>
      </c>
      <c r="B240" s="2" t="s">
        <v>1205</v>
      </c>
      <c r="C240" s="8">
        <v>18440.66</v>
      </c>
      <c r="D240" s="8">
        <v>0.04</v>
      </c>
      <c r="E240" s="2">
        <f t="shared" si="1"/>
        <v>737.63</v>
      </c>
      <c r="F240" s="2" t="s">
        <v>1206</v>
      </c>
      <c r="G240" s="2">
        <f t="shared" si="2"/>
        <v>737.63</v>
      </c>
      <c r="H240" s="2" t="str">
        <f t="shared" si="3"/>
        <v>OK</v>
      </c>
      <c r="I240" s="2">
        <f t="array" ref="I240">IFERROR(XLOOKUP(XLOOKUP(A240, AP_Subledger!A:A, AP_Subledger!H:H), Tax_Rates_Reference!A:A, Tax_Rates_Reference!C:C), "")
</f>
        <v>0.06</v>
      </c>
      <c r="J240" s="2" t="b">
        <f t="shared" si="4"/>
        <v>0</v>
      </c>
    </row>
    <row r="241">
      <c r="A241" s="2" t="s">
        <v>284</v>
      </c>
      <c r="B241" s="2" t="s">
        <v>1205</v>
      </c>
      <c r="C241" s="8">
        <v>21394.13</v>
      </c>
      <c r="D241" s="8">
        <v>0.075</v>
      </c>
      <c r="E241" s="2">
        <f t="shared" si="1"/>
        <v>1604.56</v>
      </c>
      <c r="F241" s="2" t="s">
        <v>1206</v>
      </c>
      <c r="G241" s="2">
        <f t="shared" si="2"/>
        <v>1604.56</v>
      </c>
      <c r="H241" s="2" t="str">
        <f t="shared" si="3"/>
        <v>OK</v>
      </c>
      <c r="I241" s="2">
        <f t="array" ref="I241">IFERROR(XLOOKUP(XLOOKUP(A241, AP_Subledger!A:A, AP_Subledger!H:H), Tax_Rates_Reference!A:A, Tax_Rates_Reference!C:C), "")
</f>
        <v>0.075</v>
      </c>
      <c r="J241" s="2" t="b">
        <f t="shared" si="4"/>
        <v>1</v>
      </c>
    </row>
    <row r="242">
      <c r="A242" s="2" t="s">
        <v>285</v>
      </c>
      <c r="B242" s="2" t="s">
        <v>1205</v>
      </c>
      <c r="C242" s="8">
        <v>22803.31</v>
      </c>
      <c r="D242" s="8">
        <v>0.075</v>
      </c>
      <c r="E242" s="2">
        <f t="shared" si="1"/>
        <v>1710.25</v>
      </c>
      <c r="F242" s="2" t="s">
        <v>1206</v>
      </c>
      <c r="G242" s="2">
        <f t="shared" si="2"/>
        <v>1710.25</v>
      </c>
      <c r="H242" s="2" t="str">
        <f t="shared" si="3"/>
        <v>OK</v>
      </c>
      <c r="I242" s="2">
        <f t="array" ref="I242">IFERROR(XLOOKUP(XLOOKUP(A242, AP_Subledger!A:A, AP_Subledger!H:H), Tax_Rates_Reference!A:A, Tax_Rates_Reference!C:C), "")
</f>
        <v>0.075</v>
      </c>
      <c r="J242" s="2" t="b">
        <f t="shared" si="4"/>
        <v>1</v>
      </c>
    </row>
    <row r="243">
      <c r="A243" s="2" t="s">
        <v>286</v>
      </c>
      <c r="B243" s="2" t="s">
        <v>1205</v>
      </c>
      <c r="C243" s="8">
        <v>3548.72</v>
      </c>
      <c r="D243" s="8">
        <v>0.06</v>
      </c>
      <c r="E243" s="2">
        <f t="shared" si="1"/>
        <v>248.41</v>
      </c>
      <c r="F243" s="2" t="s">
        <v>1206</v>
      </c>
      <c r="G243" s="2">
        <f t="shared" si="2"/>
        <v>212.92</v>
      </c>
      <c r="H243" s="2" t="str">
        <f t="shared" si="3"/>
        <v>Mismatch</v>
      </c>
      <c r="I243" s="2">
        <f t="array" ref="I243">IFERROR(XLOOKUP(XLOOKUP(A243, AP_Subledger!A:A, AP_Subledger!H:H), Tax_Rates_Reference!A:A, Tax_Rates_Reference!C:C), "")
</f>
        <v>0.06</v>
      </c>
      <c r="J243" s="2" t="b">
        <f t="shared" si="4"/>
        <v>1</v>
      </c>
    </row>
    <row r="244">
      <c r="A244" s="2" t="s">
        <v>287</v>
      </c>
      <c r="B244" s="2" t="s">
        <v>1205</v>
      </c>
      <c r="C244" s="8">
        <v>2690.57</v>
      </c>
      <c r="D244" s="8">
        <v>0.075</v>
      </c>
      <c r="E244" s="2">
        <f t="shared" si="1"/>
        <v>174.89</v>
      </c>
      <c r="F244" s="2" t="s">
        <v>1206</v>
      </c>
      <c r="G244" s="2">
        <f t="shared" si="2"/>
        <v>201.79</v>
      </c>
      <c r="H244" s="2" t="str">
        <f t="shared" si="3"/>
        <v>Mismatch</v>
      </c>
      <c r="I244" s="2">
        <f t="array" ref="I244">IFERROR(XLOOKUP(XLOOKUP(A244, AP_Subledger!A:A, AP_Subledger!H:H), Tax_Rates_Reference!A:A, Tax_Rates_Reference!C:C), "")
</f>
        <v>0.075</v>
      </c>
      <c r="J244" s="2" t="b">
        <f t="shared" si="4"/>
        <v>1</v>
      </c>
    </row>
    <row r="245">
      <c r="A245" s="2" t="s">
        <v>288</v>
      </c>
      <c r="B245" s="2" t="s">
        <v>1205</v>
      </c>
      <c r="C245" s="8">
        <v>11951.34</v>
      </c>
      <c r="D245" s="8">
        <v>0.07</v>
      </c>
      <c r="E245" s="2">
        <f t="shared" si="1"/>
        <v>836.59</v>
      </c>
      <c r="F245" s="2" t="s">
        <v>1206</v>
      </c>
      <c r="G245" s="2">
        <f t="shared" si="2"/>
        <v>836.59</v>
      </c>
      <c r="H245" s="2" t="str">
        <f t="shared" si="3"/>
        <v>OK</v>
      </c>
      <c r="I245" s="2">
        <f t="array" ref="I245">IFERROR(XLOOKUP(XLOOKUP(A245, AP_Subledger!A:A, AP_Subledger!H:H), Tax_Rates_Reference!A:A, Tax_Rates_Reference!C:C), "")
</f>
        <v>0.07</v>
      </c>
      <c r="J245" s="2" t="b">
        <f t="shared" si="4"/>
        <v>1</v>
      </c>
    </row>
    <row r="246">
      <c r="A246" s="2" t="s">
        <v>289</v>
      </c>
      <c r="B246" s="2" t="s">
        <v>1205</v>
      </c>
      <c r="C246" s="8">
        <v>6175.96</v>
      </c>
      <c r="D246" s="8">
        <v>0.065</v>
      </c>
      <c r="E246" s="2">
        <f t="shared" si="1"/>
        <v>401.44</v>
      </c>
      <c r="F246" s="2" t="s">
        <v>1206</v>
      </c>
      <c r="G246" s="2">
        <f t="shared" si="2"/>
        <v>401.44</v>
      </c>
      <c r="H246" s="2" t="str">
        <f t="shared" si="3"/>
        <v>OK</v>
      </c>
      <c r="I246" s="2">
        <f t="array" ref="I246">IFERROR(XLOOKUP(XLOOKUP(A246, AP_Subledger!A:A, AP_Subledger!H:H), Tax_Rates_Reference!A:A, Tax_Rates_Reference!C:C), "")
</f>
        <v>0.065</v>
      </c>
      <c r="J246" s="2" t="b">
        <f t="shared" si="4"/>
        <v>1</v>
      </c>
    </row>
    <row r="247">
      <c r="A247" s="2" t="s">
        <v>290</v>
      </c>
      <c r="B247" s="2" t="s">
        <v>1205</v>
      </c>
      <c r="C247" s="8">
        <v>20850.74</v>
      </c>
      <c r="D247" s="8">
        <v>0.065</v>
      </c>
      <c r="E247" s="2">
        <f t="shared" si="1"/>
        <v>1355.3</v>
      </c>
      <c r="F247" s="2" t="s">
        <v>1206</v>
      </c>
      <c r="G247" s="2">
        <f t="shared" si="2"/>
        <v>1355.3</v>
      </c>
      <c r="H247" s="2" t="str">
        <f t="shared" si="3"/>
        <v>OK</v>
      </c>
      <c r="I247" s="2">
        <f t="array" ref="I247">IFERROR(XLOOKUP(XLOOKUP(A247, AP_Subledger!A:A, AP_Subledger!H:H), Tax_Rates_Reference!A:A, Tax_Rates_Reference!C:C), "")
</f>
        <v>0.065</v>
      </c>
      <c r="J247" s="2" t="b">
        <f t="shared" si="4"/>
        <v>1</v>
      </c>
    </row>
    <row r="248">
      <c r="A248" s="2" t="s">
        <v>291</v>
      </c>
      <c r="B248" s="2" t="s">
        <v>1205</v>
      </c>
      <c r="C248" s="8">
        <v>23953.12</v>
      </c>
      <c r="D248" s="8">
        <v>0.07</v>
      </c>
      <c r="E248" s="2">
        <f t="shared" si="1"/>
        <v>1676.72</v>
      </c>
      <c r="F248" s="2" t="s">
        <v>1206</v>
      </c>
      <c r="G248" s="2">
        <f t="shared" si="2"/>
        <v>1676.72</v>
      </c>
      <c r="H248" s="2" t="str">
        <f t="shared" si="3"/>
        <v>OK</v>
      </c>
      <c r="I248" s="2">
        <f t="array" ref="I248">IFERROR(XLOOKUP(XLOOKUP(A248, AP_Subledger!A:A, AP_Subledger!H:H), Tax_Rates_Reference!A:A, Tax_Rates_Reference!C:C), "")
</f>
        <v>0.07</v>
      </c>
      <c r="J248" s="2" t="b">
        <f t="shared" si="4"/>
        <v>1</v>
      </c>
    </row>
    <row r="249">
      <c r="A249" s="2" t="s">
        <v>292</v>
      </c>
      <c r="B249" s="2" t="s">
        <v>1205</v>
      </c>
      <c r="C249" s="8">
        <v>5799.94</v>
      </c>
      <c r="D249" s="8">
        <v>0.075</v>
      </c>
      <c r="E249" s="2">
        <f t="shared" si="1"/>
        <v>435</v>
      </c>
      <c r="F249" s="2" t="s">
        <v>1206</v>
      </c>
      <c r="G249" s="2">
        <f t="shared" si="2"/>
        <v>435</v>
      </c>
      <c r="H249" s="2" t="str">
        <f t="shared" si="3"/>
        <v>OK</v>
      </c>
      <c r="I249" s="2">
        <f t="array" ref="I249">IFERROR(XLOOKUP(XLOOKUP(A249, AP_Subledger!A:A, AP_Subledger!H:H), Tax_Rates_Reference!A:A, Tax_Rates_Reference!C:C), "")
</f>
        <v>0.075</v>
      </c>
      <c r="J249" s="2" t="b">
        <f t="shared" si="4"/>
        <v>1</v>
      </c>
    </row>
    <row r="250">
      <c r="A250" s="2" t="s">
        <v>293</v>
      </c>
      <c r="B250" s="2" t="s">
        <v>1205</v>
      </c>
      <c r="C250" s="8">
        <v>10207.93</v>
      </c>
      <c r="D250" s="8">
        <v>0.07</v>
      </c>
      <c r="E250" s="2">
        <f t="shared" si="1"/>
        <v>1429.11</v>
      </c>
      <c r="F250" s="2" t="s">
        <v>1206</v>
      </c>
      <c r="G250" s="2">
        <f t="shared" si="2"/>
        <v>714.56</v>
      </c>
      <c r="H250" s="2" t="str">
        <f t="shared" si="3"/>
        <v>Mismatch</v>
      </c>
      <c r="I250" s="2">
        <f t="array" ref="I250">IFERROR(XLOOKUP(XLOOKUP(A250, AP_Subledger!A:A, AP_Subledger!H:H), Tax_Rates_Reference!A:A, Tax_Rates_Reference!C:C), "")
</f>
        <v>0.07</v>
      </c>
      <c r="J250" s="2" t="b">
        <f t="shared" si="4"/>
        <v>1</v>
      </c>
    </row>
    <row r="251">
      <c r="A251" s="2" t="s">
        <v>294</v>
      </c>
      <c r="B251" s="2" t="s">
        <v>1205</v>
      </c>
      <c r="C251" s="8">
        <v>20487.91</v>
      </c>
      <c r="D251" s="8">
        <v>0.055</v>
      </c>
      <c r="E251" s="2">
        <f t="shared" si="1"/>
        <v>1126.84</v>
      </c>
      <c r="F251" s="2" t="s">
        <v>1206</v>
      </c>
      <c r="G251" s="2">
        <f t="shared" si="2"/>
        <v>1126.84</v>
      </c>
      <c r="H251" s="2" t="str">
        <f t="shared" si="3"/>
        <v>OK</v>
      </c>
      <c r="I251" s="2">
        <f t="array" ref="I251">IFERROR(XLOOKUP(XLOOKUP(A251, AP_Subledger!A:A, AP_Subledger!H:H), Tax_Rates_Reference!A:A, Tax_Rates_Reference!C:C), "")
</f>
        <v>0.075</v>
      </c>
      <c r="J251" s="2" t="b">
        <f t="shared" si="4"/>
        <v>0</v>
      </c>
    </row>
    <row r="252">
      <c r="A252" s="2" t="s">
        <v>295</v>
      </c>
      <c r="B252" s="2" t="s">
        <v>1205</v>
      </c>
      <c r="C252" s="8">
        <v>21997.79</v>
      </c>
      <c r="D252" s="8">
        <v>0.065</v>
      </c>
      <c r="E252" s="2">
        <f t="shared" si="1"/>
        <v>1429.86</v>
      </c>
      <c r="F252" s="2" t="s">
        <v>1206</v>
      </c>
      <c r="G252" s="2">
        <f t="shared" si="2"/>
        <v>1429.86</v>
      </c>
      <c r="H252" s="2" t="str">
        <f t="shared" si="3"/>
        <v>OK</v>
      </c>
      <c r="I252" s="2">
        <f t="array" ref="I252">IFERROR(XLOOKUP(XLOOKUP(A252, AP_Subledger!A:A, AP_Subledger!H:H), Tax_Rates_Reference!A:A, Tax_Rates_Reference!C:C), "")
</f>
        <v>0.065</v>
      </c>
      <c r="J252" s="2" t="b">
        <f t="shared" si="4"/>
        <v>1</v>
      </c>
    </row>
    <row r="253">
      <c r="A253" s="2" t="s">
        <v>296</v>
      </c>
      <c r="B253" s="2" t="s">
        <v>1205</v>
      </c>
      <c r="C253" s="8">
        <v>21378.74</v>
      </c>
      <c r="D253" s="8">
        <v>0.07</v>
      </c>
      <c r="E253" s="2">
        <f t="shared" si="1"/>
        <v>1496.51</v>
      </c>
      <c r="F253" s="2" t="s">
        <v>1206</v>
      </c>
      <c r="G253" s="2">
        <f t="shared" si="2"/>
        <v>1496.51</v>
      </c>
      <c r="H253" s="2" t="str">
        <f t="shared" si="3"/>
        <v>OK</v>
      </c>
      <c r="I253" s="2">
        <f t="array" ref="I253">IFERROR(XLOOKUP(XLOOKUP(A253, AP_Subledger!A:A, AP_Subledger!H:H), Tax_Rates_Reference!A:A, Tax_Rates_Reference!C:C), "")
</f>
        <v>0.07</v>
      </c>
      <c r="J253" s="2" t="b">
        <f t="shared" si="4"/>
        <v>1</v>
      </c>
    </row>
    <row r="254">
      <c r="A254" s="2" t="s">
        <v>297</v>
      </c>
      <c r="B254" s="2" t="s">
        <v>1205</v>
      </c>
      <c r="C254" s="8">
        <v>2631.18</v>
      </c>
      <c r="D254" s="8">
        <v>0.065</v>
      </c>
      <c r="E254" s="2">
        <f t="shared" si="1"/>
        <v>171.03</v>
      </c>
      <c r="F254" s="2" t="s">
        <v>1206</v>
      </c>
      <c r="G254" s="2">
        <f t="shared" si="2"/>
        <v>171.03</v>
      </c>
      <c r="H254" s="2" t="str">
        <f t="shared" si="3"/>
        <v>OK</v>
      </c>
      <c r="I254" s="2">
        <f t="array" ref="I254">IFERROR(XLOOKUP(XLOOKUP(A254, AP_Subledger!A:A, AP_Subledger!H:H), Tax_Rates_Reference!A:A, Tax_Rates_Reference!C:C), "")
</f>
        <v>0.065</v>
      </c>
      <c r="J254" s="2" t="b">
        <f t="shared" si="4"/>
        <v>1</v>
      </c>
    </row>
    <row r="255">
      <c r="A255" s="2" t="s">
        <v>298</v>
      </c>
      <c r="B255" s="2" t="s">
        <v>1205</v>
      </c>
      <c r="C255" s="8">
        <v>1695.2</v>
      </c>
      <c r="D255" s="8">
        <v>0.07</v>
      </c>
      <c r="E255" s="2">
        <f t="shared" si="1"/>
        <v>118.66</v>
      </c>
      <c r="F255" s="2" t="s">
        <v>1206</v>
      </c>
      <c r="G255" s="2">
        <f t="shared" si="2"/>
        <v>118.66</v>
      </c>
      <c r="H255" s="2" t="str">
        <f t="shared" si="3"/>
        <v>OK</v>
      </c>
      <c r="I255" s="2">
        <f t="array" ref="I255">IFERROR(XLOOKUP(XLOOKUP(A255, AP_Subledger!A:A, AP_Subledger!H:H), Tax_Rates_Reference!A:A, Tax_Rates_Reference!C:C), "")
</f>
        <v>0.07</v>
      </c>
      <c r="J255" s="2" t="b">
        <f t="shared" si="4"/>
        <v>1</v>
      </c>
    </row>
    <row r="256">
      <c r="A256" s="2" t="s">
        <v>299</v>
      </c>
      <c r="B256" s="2" t="s">
        <v>1205</v>
      </c>
      <c r="C256" s="8">
        <v>22414.76</v>
      </c>
      <c r="D256" s="8">
        <v>0.075</v>
      </c>
      <c r="E256" s="2">
        <f t="shared" si="1"/>
        <v>1681.11</v>
      </c>
      <c r="F256" s="2" t="s">
        <v>1206</v>
      </c>
      <c r="G256" s="2">
        <f t="shared" si="2"/>
        <v>1681.11</v>
      </c>
      <c r="H256" s="2" t="str">
        <f t="shared" si="3"/>
        <v>OK</v>
      </c>
      <c r="I256" s="2">
        <f t="array" ref="I256">IFERROR(XLOOKUP(XLOOKUP(A256, AP_Subledger!A:A, AP_Subledger!H:H), Tax_Rates_Reference!A:A, Tax_Rates_Reference!C:C), "")
</f>
        <v>0.075</v>
      </c>
      <c r="J256" s="2" t="b">
        <f t="shared" si="4"/>
        <v>1</v>
      </c>
    </row>
    <row r="257">
      <c r="A257" s="2" t="s">
        <v>300</v>
      </c>
      <c r="B257" s="2" t="s">
        <v>1205</v>
      </c>
      <c r="C257" s="8">
        <v>12274.37</v>
      </c>
      <c r="D257" s="8">
        <v>0.065</v>
      </c>
      <c r="E257" s="2">
        <f t="shared" si="1"/>
        <v>797.83</v>
      </c>
      <c r="F257" s="2" t="s">
        <v>1206</v>
      </c>
      <c r="G257" s="2">
        <f t="shared" si="2"/>
        <v>797.83</v>
      </c>
      <c r="H257" s="2" t="str">
        <f t="shared" si="3"/>
        <v>OK</v>
      </c>
      <c r="I257" s="2">
        <f t="array" ref="I257">IFERROR(XLOOKUP(XLOOKUP(A257, AP_Subledger!A:A, AP_Subledger!H:H), Tax_Rates_Reference!A:A, Tax_Rates_Reference!C:C), "")
</f>
        <v>0.065</v>
      </c>
      <c r="J257" s="2" t="b">
        <f t="shared" si="4"/>
        <v>1</v>
      </c>
    </row>
    <row r="258">
      <c r="A258" s="2" t="s">
        <v>301</v>
      </c>
      <c r="B258" s="2" t="s">
        <v>1205</v>
      </c>
      <c r="C258" s="8">
        <v>17111.4</v>
      </c>
      <c r="D258" s="8">
        <v>0.075</v>
      </c>
      <c r="E258" s="2">
        <f t="shared" si="1"/>
        <v>2566.71</v>
      </c>
      <c r="F258" s="2" t="s">
        <v>1206</v>
      </c>
      <c r="G258" s="2">
        <f t="shared" si="2"/>
        <v>1283.36</v>
      </c>
      <c r="H258" s="2" t="str">
        <f t="shared" si="3"/>
        <v>Mismatch</v>
      </c>
      <c r="I258" s="2">
        <f t="array" ref="I258">IFERROR(XLOOKUP(XLOOKUP(A258, AP_Subledger!A:A, AP_Subledger!H:H), Tax_Rates_Reference!A:A, Tax_Rates_Reference!C:C), "")
</f>
        <v>0.075</v>
      </c>
      <c r="J258" s="2" t="b">
        <f t="shared" si="4"/>
        <v>1</v>
      </c>
    </row>
    <row r="259">
      <c r="A259" s="2" t="s">
        <v>302</v>
      </c>
      <c r="B259" s="2" t="s">
        <v>1205</v>
      </c>
      <c r="C259" s="8">
        <v>21769.94</v>
      </c>
      <c r="D259" s="8">
        <v>0.06</v>
      </c>
      <c r="E259" s="2">
        <f t="shared" si="1"/>
        <v>2612.39</v>
      </c>
      <c r="F259" s="2" t="s">
        <v>1206</v>
      </c>
      <c r="G259" s="2">
        <f t="shared" si="2"/>
        <v>1306.2</v>
      </c>
      <c r="H259" s="2" t="str">
        <f t="shared" si="3"/>
        <v>Mismatch</v>
      </c>
      <c r="I259" s="2">
        <f t="array" ref="I259">IFERROR(XLOOKUP(XLOOKUP(A259, AP_Subledger!A:A, AP_Subledger!H:H), Tax_Rates_Reference!A:A, Tax_Rates_Reference!C:C), "")
</f>
        <v>0.06</v>
      </c>
      <c r="J259" s="2" t="b">
        <f t="shared" si="4"/>
        <v>1</v>
      </c>
    </row>
    <row r="260">
      <c r="A260" s="2" t="s">
        <v>303</v>
      </c>
      <c r="B260" s="2" t="s">
        <v>1205</v>
      </c>
      <c r="C260" s="8">
        <v>8683.22</v>
      </c>
      <c r="D260" s="8">
        <v>0.065</v>
      </c>
      <c r="E260" s="2">
        <f t="shared" si="1"/>
        <v>564.41</v>
      </c>
      <c r="F260" s="2" t="s">
        <v>1206</v>
      </c>
      <c r="G260" s="2">
        <f t="shared" si="2"/>
        <v>564.41</v>
      </c>
      <c r="H260" s="2" t="str">
        <f t="shared" si="3"/>
        <v>OK</v>
      </c>
      <c r="I260" s="2">
        <f t="array" ref="I260">IFERROR(XLOOKUP(XLOOKUP(A260, AP_Subledger!A:A, AP_Subledger!H:H), Tax_Rates_Reference!A:A, Tax_Rates_Reference!C:C), "")
</f>
        <v>0.065</v>
      </c>
      <c r="J260" s="2" t="b">
        <f t="shared" si="4"/>
        <v>1</v>
      </c>
    </row>
    <row r="261">
      <c r="A261" s="2" t="s">
        <v>304</v>
      </c>
      <c r="B261" s="2" t="s">
        <v>1205</v>
      </c>
      <c r="C261" s="8">
        <v>17625.27</v>
      </c>
      <c r="D261" s="8">
        <v>0.075</v>
      </c>
      <c r="E261" s="2">
        <f t="shared" si="1"/>
        <v>0</v>
      </c>
      <c r="F261" s="2" t="s">
        <v>1206</v>
      </c>
      <c r="G261" s="2">
        <f t="shared" si="2"/>
        <v>1321.9</v>
      </c>
      <c r="H261" s="2" t="str">
        <f t="shared" si="3"/>
        <v>Mismatch</v>
      </c>
      <c r="I261" s="2">
        <f t="array" ref="I261">IFERROR(XLOOKUP(XLOOKUP(A261, AP_Subledger!A:A, AP_Subledger!H:H), Tax_Rates_Reference!A:A, Tax_Rates_Reference!C:C), "")
</f>
        <v>0.075</v>
      </c>
      <c r="J261" s="2" t="b">
        <f t="shared" si="4"/>
        <v>1</v>
      </c>
    </row>
    <row r="262">
      <c r="A262" s="2" t="s">
        <v>305</v>
      </c>
      <c r="B262" s="2" t="s">
        <v>1205</v>
      </c>
      <c r="C262" s="8">
        <v>11904.02</v>
      </c>
      <c r="D262" s="8">
        <v>0.075</v>
      </c>
      <c r="E262" s="2">
        <f t="shared" si="1"/>
        <v>892.8</v>
      </c>
      <c r="F262" s="2" t="s">
        <v>1206</v>
      </c>
      <c r="G262" s="2">
        <f t="shared" si="2"/>
        <v>892.8</v>
      </c>
      <c r="H262" s="2" t="str">
        <f t="shared" si="3"/>
        <v>OK</v>
      </c>
      <c r="I262" s="2">
        <f t="array" ref="I262">IFERROR(XLOOKUP(XLOOKUP(A262, AP_Subledger!A:A, AP_Subledger!H:H), Tax_Rates_Reference!A:A, Tax_Rates_Reference!C:C), "")
</f>
        <v>0.075</v>
      </c>
      <c r="J262" s="2" t="b">
        <f t="shared" si="4"/>
        <v>1</v>
      </c>
    </row>
    <row r="263">
      <c r="A263" s="2" t="s">
        <v>306</v>
      </c>
      <c r="B263" s="2" t="s">
        <v>1205</v>
      </c>
      <c r="C263" s="8">
        <v>18715.95</v>
      </c>
      <c r="D263" s="8">
        <v>0.08</v>
      </c>
      <c r="E263" s="2">
        <f t="shared" si="1"/>
        <v>1497.28</v>
      </c>
      <c r="F263" s="2" t="s">
        <v>1206</v>
      </c>
      <c r="G263" s="2">
        <f t="shared" si="2"/>
        <v>1497.28</v>
      </c>
      <c r="H263" s="2" t="str">
        <f t="shared" si="3"/>
        <v>OK</v>
      </c>
      <c r="I263" s="2">
        <f t="array" ref="I263">IFERROR(XLOOKUP(XLOOKUP(A263, AP_Subledger!A:A, AP_Subledger!H:H), Tax_Rates_Reference!A:A, Tax_Rates_Reference!C:C), "")
</f>
        <v>0.06</v>
      </c>
      <c r="J263" s="2" t="b">
        <f t="shared" si="4"/>
        <v>0</v>
      </c>
    </row>
    <row r="264">
      <c r="A264" s="2" t="s">
        <v>307</v>
      </c>
      <c r="B264" s="2" t="s">
        <v>1205</v>
      </c>
      <c r="C264" s="8">
        <v>6837.86</v>
      </c>
      <c r="D264" s="8">
        <v>0.065</v>
      </c>
      <c r="E264" s="2">
        <f t="shared" si="1"/>
        <v>444.46</v>
      </c>
      <c r="F264" s="2" t="s">
        <v>1206</v>
      </c>
      <c r="G264" s="2">
        <f t="shared" si="2"/>
        <v>444.46</v>
      </c>
      <c r="H264" s="2" t="str">
        <f t="shared" si="3"/>
        <v>OK</v>
      </c>
      <c r="I264" s="2">
        <f t="array" ref="I264">IFERROR(XLOOKUP(XLOOKUP(A264, AP_Subledger!A:A, AP_Subledger!H:H), Tax_Rates_Reference!A:A, Tax_Rates_Reference!C:C), "")
</f>
        <v>0.065</v>
      </c>
      <c r="J264" s="2" t="b">
        <f t="shared" si="4"/>
        <v>1</v>
      </c>
    </row>
    <row r="265">
      <c r="A265" s="2" t="s">
        <v>308</v>
      </c>
      <c r="B265" s="2" t="s">
        <v>1205</v>
      </c>
      <c r="C265" s="8">
        <v>14216.19</v>
      </c>
      <c r="D265" s="8">
        <v>0.065</v>
      </c>
      <c r="E265" s="2">
        <f t="shared" si="1"/>
        <v>924.05</v>
      </c>
      <c r="F265" s="2" t="s">
        <v>1206</v>
      </c>
      <c r="G265" s="2">
        <f t="shared" si="2"/>
        <v>924.05</v>
      </c>
      <c r="H265" s="2" t="str">
        <f t="shared" si="3"/>
        <v>OK</v>
      </c>
      <c r="I265" s="2">
        <f t="array" ref="I265">IFERROR(XLOOKUP(XLOOKUP(A265, AP_Subledger!A:A, AP_Subledger!H:H), Tax_Rates_Reference!A:A, Tax_Rates_Reference!C:C), "")
</f>
        <v>0.065</v>
      </c>
      <c r="J265" s="2" t="b">
        <f t="shared" si="4"/>
        <v>1</v>
      </c>
    </row>
    <row r="266">
      <c r="A266" s="2" t="s">
        <v>309</v>
      </c>
      <c r="B266" s="2" t="s">
        <v>1205</v>
      </c>
      <c r="C266" s="8">
        <v>3646.99</v>
      </c>
      <c r="D266" s="8">
        <v>0.095</v>
      </c>
      <c r="E266" s="2">
        <f t="shared" si="1"/>
        <v>346.46</v>
      </c>
      <c r="F266" s="2" t="s">
        <v>1206</v>
      </c>
      <c r="G266" s="2">
        <f t="shared" si="2"/>
        <v>346.46</v>
      </c>
      <c r="H266" s="2" t="str">
        <f t="shared" si="3"/>
        <v>OK</v>
      </c>
      <c r="I266" s="2">
        <f t="array" ref="I266">IFERROR(XLOOKUP(XLOOKUP(A266, AP_Subledger!A:A, AP_Subledger!H:H), Tax_Rates_Reference!A:A, Tax_Rates_Reference!C:C), "")
</f>
        <v>0.075</v>
      </c>
      <c r="J266" s="2" t="b">
        <f t="shared" si="4"/>
        <v>0</v>
      </c>
    </row>
    <row r="267">
      <c r="A267" s="2" t="s">
        <v>310</v>
      </c>
      <c r="B267" s="2" t="s">
        <v>1205</v>
      </c>
      <c r="C267" s="8">
        <v>18965.62</v>
      </c>
      <c r="D267" s="8">
        <v>0.045</v>
      </c>
      <c r="E267" s="2">
        <f t="shared" si="1"/>
        <v>853.45</v>
      </c>
      <c r="F267" s="2" t="s">
        <v>1206</v>
      </c>
      <c r="G267" s="2">
        <f t="shared" si="2"/>
        <v>853.45</v>
      </c>
      <c r="H267" s="2" t="str">
        <f t="shared" si="3"/>
        <v>OK</v>
      </c>
      <c r="I267" s="2">
        <f t="array" ref="I267">IFERROR(XLOOKUP(XLOOKUP(A267, AP_Subledger!A:A, AP_Subledger!H:H), Tax_Rates_Reference!A:A, Tax_Rates_Reference!C:C), "")
</f>
        <v>0.065</v>
      </c>
      <c r="J267" s="2" t="b">
        <f t="shared" si="4"/>
        <v>0</v>
      </c>
    </row>
    <row r="268">
      <c r="A268" s="2" t="s">
        <v>311</v>
      </c>
      <c r="B268" s="2" t="s">
        <v>1205</v>
      </c>
      <c r="C268" s="8">
        <v>23708.8</v>
      </c>
      <c r="D268" s="8">
        <v>0.06</v>
      </c>
      <c r="E268" s="2">
        <f t="shared" si="1"/>
        <v>1422.53</v>
      </c>
      <c r="F268" s="2" t="s">
        <v>1206</v>
      </c>
      <c r="G268" s="2">
        <f t="shared" si="2"/>
        <v>1422.53</v>
      </c>
      <c r="H268" s="2" t="str">
        <f t="shared" si="3"/>
        <v>OK</v>
      </c>
      <c r="I268" s="2">
        <f t="array" ref="I268">IFERROR(XLOOKUP(XLOOKUP(A268, AP_Subledger!A:A, AP_Subledger!H:H), Tax_Rates_Reference!A:A, Tax_Rates_Reference!C:C), "")
</f>
        <v>0.06</v>
      </c>
      <c r="J268" s="2" t="b">
        <f t="shared" si="4"/>
        <v>1</v>
      </c>
    </row>
    <row r="269">
      <c r="A269" s="2" t="s">
        <v>312</v>
      </c>
      <c r="B269" s="2" t="s">
        <v>1205</v>
      </c>
      <c r="C269" s="8">
        <v>2330.01</v>
      </c>
      <c r="D269" s="8">
        <v>0.06</v>
      </c>
      <c r="E269" s="2">
        <f t="shared" si="1"/>
        <v>139.8</v>
      </c>
      <c r="F269" s="2" t="s">
        <v>1206</v>
      </c>
      <c r="G269" s="2">
        <f t="shared" si="2"/>
        <v>139.8</v>
      </c>
      <c r="H269" s="2" t="str">
        <f t="shared" si="3"/>
        <v>OK</v>
      </c>
      <c r="I269" s="2">
        <f t="array" ref="I269">IFERROR(XLOOKUP(XLOOKUP(A269, AP_Subledger!A:A, AP_Subledger!H:H), Tax_Rates_Reference!A:A, Tax_Rates_Reference!C:C), "")
</f>
        <v>0.06</v>
      </c>
      <c r="J269" s="2" t="b">
        <f t="shared" si="4"/>
        <v>1</v>
      </c>
    </row>
    <row r="270">
      <c r="A270" s="2" t="s">
        <v>313</v>
      </c>
      <c r="B270" s="2" t="s">
        <v>1205</v>
      </c>
      <c r="C270" s="8">
        <v>24237.51</v>
      </c>
      <c r="D270" s="8">
        <v>0.065</v>
      </c>
      <c r="E270" s="2">
        <f t="shared" si="1"/>
        <v>3150.88</v>
      </c>
      <c r="F270" s="2" t="s">
        <v>1206</v>
      </c>
      <c r="G270" s="2">
        <f t="shared" si="2"/>
        <v>1575.44</v>
      </c>
      <c r="H270" s="2" t="str">
        <f t="shared" si="3"/>
        <v>Mismatch</v>
      </c>
      <c r="I270" s="2">
        <f t="array" ref="I270">IFERROR(XLOOKUP(XLOOKUP(A270, AP_Subledger!A:A, AP_Subledger!H:H), Tax_Rates_Reference!A:A, Tax_Rates_Reference!C:C), "")
</f>
        <v>0.065</v>
      </c>
      <c r="J270" s="2" t="b">
        <f t="shared" si="4"/>
        <v>1</v>
      </c>
    </row>
    <row r="271">
      <c r="A271" s="2" t="s">
        <v>314</v>
      </c>
      <c r="B271" s="2" t="s">
        <v>1205</v>
      </c>
      <c r="C271" s="8">
        <v>20627.07</v>
      </c>
      <c r="D271" s="8">
        <v>0.075</v>
      </c>
      <c r="E271" s="2">
        <f t="shared" si="1"/>
        <v>1547.03</v>
      </c>
      <c r="F271" s="2" t="s">
        <v>1206</v>
      </c>
      <c r="G271" s="2">
        <f t="shared" si="2"/>
        <v>1547.03</v>
      </c>
      <c r="H271" s="2" t="str">
        <f t="shared" si="3"/>
        <v>OK</v>
      </c>
      <c r="I271" s="2">
        <f t="array" ref="I271">IFERROR(XLOOKUP(XLOOKUP(A271, AP_Subledger!A:A, AP_Subledger!H:H), Tax_Rates_Reference!A:A, Tax_Rates_Reference!C:C), "")
</f>
        <v>0.075</v>
      </c>
      <c r="J271" s="2" t="b">
        <f t="shared" si="4"/>
        <v>1</v>
      </c>
    </row>
    <row r="272">
      <c r="A272" s="2" t="s">
        <v>315</v>
      </c>
      <c r="B272" s="2" t="s">
        <v>1205</v>
      </c>
      <c r="C272" s="8">
        <v>4393.99</v>
      </c>
      <c r="D272" s="8">
        <v>0.06</v>
      </c>
      <c r="E272" s="2">
        <f t="shared" si="1"/>
        <v>263.64</v>
      </c>
      <c r="F272" s="2" t="s">
        <v>1206</v>
      </c>
      <c r="G272" s="2">
        <f t="shared" si="2"/>
        <v>263.64</v>
      </c>
      <c r="H272" s="2" t="str">
        <f t="shared" si="3"/>
        <v>OK</v>
      </c>
      <c r="I272" s="2">
        <f t="array" ref="I272">IFERROR(XLOOKUP(XLOOKUP(A272, AP_Subledger!A:A, AP_Subledger!H:H), Tax_Rates_Reference!A:A, Tax_Rates_Reference!C:C), "")
</f>
        <v>0.06</v>
      </c>
      <c r="J272" s="2" t="b">
        <f t="shared" si="4"/>
        <v>1</v>
      </c>
    </row>
    <row r="273">
      <c r="A273" s="2" t="s">
        <v>316</v>
      </c>
      <c r="B273" s="2" t="s">
        <v>1205</v>
      </c>
      <c r="C273" s="8">
        <v>4508.78</v>
      </c>
      <c r="D273" s="8">
        <v>0.06</v>
      </c>
      <c r="E273" s="2">
        <f t="shared" si="1"/>
        <v>270.53</v>
      </c>
      <c r="F273" s="2" t="s">
        <v>1206</v>
      </c>
      <c r="G273" s="2">
        <f t="shared" si="2"/>
        <v>270.53</v>
      </c>
      <c r="H273" s="2" t="str">
        <f t="shared" si="3"/>
        <v>OK</v>
      </c>
      <c r="I273" s="2">
        <f t="array" ref="I273">IFERROR(XLOOKUP(XLOOKUP(A273, AP_Subledger!A:A, AP_Subledger!H:H), Tax_Rates_Reference!A:A, Tax_Rates_Reference!C:C), "")
</f>
        <v>0.06</v>
      </c>
      <c r="J273" s="2" t="b">
        <f t="shared" si="4"/>
        <v>1</v>
      </c>
    </row>
    <row r="274">
      <c r="A274" s="2" t="s">
        <v>317</v>
      </c>
      <c r="B274" s="2" t="s">
        <v>1205</v>
      </c>
      <c r="C274" s="8">
        <v>2518.34</v>
      </c>
      <c r="D274" s="8">
        <v>0.065</v>
      </c>
      <c r="E274" s="2">
        <f t="shared" si="1"/>
        <v>163.69</v>
      </c>
      <c r="F274" s="2" t="s">
        <v>1206</v>
      </c>
      <c r="G274" s="2">
        <f t="shared" si="2"/>
        <v>163.69</v>
      </c>
      <c r="H274" s="2" t="str">
        <f t="shared" si="3"/>
        <v>OK</v>
      </c>
      <c r="I274" s="2">
        <f t="array" ref="I274">IFERROR(XLOOKUP(XLOOKUP(A274, AP_Subledger!A:A, AP_Subledger!H:H), Tax_Rates_Reference!A:A, Tax_Rates_Reference!C:C), "")
</f>
        <v>0.065</v>
      </c>
      <c r="J274" s="2" t="b">
        <f t="shared" si="4"/>
        <v>1</v>
      </c>
    </row>
    <row r="275">
      <c r="A275" s="2" t="s">
        <v>318</v>
      </c>
      <c r="B275" s="2" t="s">
        <v>1205</v>
      </c>
      <c r="C275" s="8">
        <v>24099.3</v>
      </c>
      <c r="D275" s="8">
        <v>0.06</v>
      </c>
      <c r="E275" s="2">
        <f t="shared" si="1"/>
        <v>1445.96</v>
      </c>
      <c r="F275" s="2" t="s">
        <v>1206</v>
      </c>
      <c r="G275" s="2">
        <f t="shared" si="2"/>
        <v>1445.96</v>
      </c>
      <c r="H275" s="2" t="str">
        <f t="shared" si="3"/>
        <v>OK</v>
      </c>
      <c r="I275" s="2">
        <f t="array" ref="I275">IFERROR(XLOOKUP(XLOOKUP(A275, AP_Subledger!A:A, AP_Subledger!H:H), Tax_Rates_Reference!A:A, Tax_Rates_Reference!C:C), "")
</f>
        <v>0.06</v>
      </c>
      <c r="J275" s="2" t="b">
        <f t="shared" si="4"/>
        <v>1</v>
      </c>
    </row>
    <row r="276">
      <c r="A276" s="2" t="s">
        <v>319</v>
      </c>
      <c r="B276" s="2" t="s">
        <v>1205</v>
      </c>
      <c r="C276" s="8">
        <v>16143.89</v>
      </c>
      <c r="D276" s="8">
        <v>0.06</v>
      </c>
      <c r="E276" s="2">
        <f t="shared" si="1"/>
        <v>968.63</v>
      </c>
      <c r="F276" s="2" t="s">
        <v>1206</v>
      </c>
      <c r="G276" s="2">
        <f t="shared" si="2"/>
        <v>968.63</v>
      </c>
      <c r="H276" s="2" t="str">
        <f t="shared" si="3"/>
        <v>OK</v>
      </c>
      <c r="I276" s="2">
        <f t="array" ref="I276">IFERROR(XLOOKUP(XLOOKUP(A276, AP_Subledger!A:A, AP_Subledger!H:H), Tax_Rates_Reference!A:A, Tax_Rates_Reference!C:C), "")
</f>
        <v>0.06</v>
      </c>
      <c r="J276" s="2" t="b">
        <f t="shared" si="4"/>
        <v>1</v>
      </c>
    </row>
    <row r="277">
      <c r="A277" s="2" t="s">
        <v>320</v>
      </c>
      <c r="B277" s="2" t="s">
        <v>1205</v>
      </c>
      <c r="C277" s="8">
        <v>18248.36</v>
      </c>
      <c r="D277" s="8">
        <v>0.07</v>
      </c>
      <c r="E277" s="2">
        <f t="shared" si="1"/>
        <v>1459.87</v>
      </c>
      <c r="F277" s="2" t="s">
        <v>1206</v>
      </c>
      <c r="G277" s="2">
        <f t="shared" si="2"/>
        <v>1277.39</v>
      </c>
      <c r="H277" s="2" t="str">
        <f t="shared" si="3"/>
        <v>Mismatch</v>
      </c>
      <c r="I277" s="2">
        <f t="array" ref="I277">IFERROR(XLOOKUP(XLOOKUP(A277, AP_Subledger!A:A, AP_Subledger!H:H), Tax_Rates_Reference!A:A, Tax_Rates_Reference!C:C), "")
</f>
        <v>0.07</v>
      </c>
      <c r="J277" s="2" t="b">
        <f t="shared" si="4"/>
        <v>1</v>
      </c>
    </row>
    <row r="278">
      <c r="A278" s="2" t="s">
        <v>321</v>
      </c>
      <c r="B278" s="2" t="s">
        <v>1205</v>
      </c>
      <c r="C278" s="8">
        <v>18015.64</v>
      </c>
      <c r="D278" s="8">
        <v>0.085</v>
      </c>
      <c r="E278" s="2">
        <f t="shared" si="1"/>
        <v>1531.33</v>
      </c>
      <c r="F278" s="2" t="s">
        <v>1206</v>
      </c>
      <c r="G278" s="2">
        <f t="shared" si="2"/>
        <v>1531.33</v>
      </c>
      <c r="H278" s="2" t="str">
        <f t="shared" si="3"/>
        <v>OK</v>
      </c>
      <c r="I278" s="2">
        <f t="array" ref="I278">IFERROR(XLOOKUP(XLOOKUP(A278, AP_Subledger!A:A, AP_Subledger!H:H), Tax_Rates_Reference!A:A, Tax_Rates_Reference!C:C), "")
</f>
        <v>0.065</v>
      </c>
      <c r="J278" s="2" t="b">
        <f t="shared" si="4"/>
        <v>0</v>
      </c>
    </row>
    <row r="279">
      <c r="A279" s="2" t="s">
        <v>322</v>
      </c>
      <c r="B279" s="2" t="s">
        <v>1205</v>
      </c>
      <c r="C279" s="8">
        <v>5490.68</v>
      </c>
      <c r="D279" s="8">
        <v>0.07</v>
      </c>
      <c r="E279" s="2">
        <f t="shared" si="1"/>
        <v>384.35</v>
      </c>
      <c r="F279" s="2" t="s">
        <v>1206</v>
      </c>
      <c r="G279" s="2">
        <f t="shared" si="2"/>
        <v>384.35</v>
      </c>
      <c r="H279" s="2" t="str">
        <f t="shared" si="3"/>
        <v>OK</v>
      </c>
      <c r="I279" s="2">
        <f t="array" ref="I279">IFERROR(XLOOKUP(XLOOKUP(A279, AP_Subledger!A:A, AP_Subledger!H:H), Tax_Rates_Reference!A:A, Tax_Rates_Reference!C:C), "")
</f>
        <v>0.07</v>
      </c>
      <c r="J279" s="2" t="b">
        <f t="shared" si="4"/>
        <v>1</v>
      </c>
    </row>
    <row r="280">
      <c r="A280" s="2" t="s">
        <v>323</v>
      </c>
      <c r="B280" s="2" t="s">
        <v>1205</v>
      </c>
      <c r="C280" s="8">
        <v>13493.68</v>
      </c>
      <c r="D280" s="8">
        <v>0.075</v>
      </c>
      <c r="E280" s="2">
        <f t="shared" si="1"/>
        <v>1012.03</v>
      </c>
      <c r="F280" s="2" t="s">
        <v>1206</v>
      </c>
      <c r="G280" s="2">
        <f t="shared" si="2"/>
        <v>1012.03</v>
      </c>
      <c r="H280" s="2" t="str">
        <f t="shared" si="3"/>
        <v>OK</v>
      </c>
      <c r="I280" s="2">
        <f t="array" ref="I280">IFERROR(XLOOKUP(XLOOKUP(A280, AP_Subledger!A:A, AP_Subledger!H:H), Tax_Rates_Reference!A:A, Tax_Rates_Reference!C:C), "")
</f>
        <v>0.075</v>
      </c>
      <c r="J280" s="2" t="b">
        <f t="shared" si="4"/>
        <v>1</v>
      </c>
    </row>
    <row r="281">
      <c r="A281" s="2" t="s">
        <v>324</v>
      </c>
      <c r="B281" s="2" t="s">
        <v>1205</v>
      </c>
      <c r="C281" s="8">
        <v>24204.03</v>
      </c>
      <c r="D281" s="8">
        <v>0.065</v>
      </c>
      <c r="E281" s="2">
        <f t="shared" si="1"/>
        <v>1573.26</v>
      </c>
      <c r="F281" s="2" t="s">
        <v>1206</v>
      </c>
      <c r="G281" s="2">
        <f t="shared" si="2"/>
        <v>1573.26</v>
      </c>
      <c r="H281" s="2" t="str">
        <f t="shared" si="3"/>
        <v>OK</v>
      </c>
      <c r="I281" s="2">
        <f t="array" ref="I281">IFERROR(XLOOKUP(XLOOKUP(A281, AP_Subledger!A:A, AP_Subledger!H:H), Tax_Rates_Reference!A:A, Tax_Rates_Reference!C:C), "")
</f>
        <v>0.065</v>
      </c>
      <c r="J281" s="2" t="b">
        <f t="shared" si="4"/>
        <v>1</v>
      </c>
    </row>
    <row r="282">
      <c r="A282" s="2" t="s">
        <v>325</v>
      </c>
      <c r="B282" s="2" t="s">
        <v>1205</v>
      </c>
      <c r="C282" s="8">
        <v>15159.02</v>
      </c>
      <c r="D282" s="8">
        <v>0.075</v>
      </c>
      <c r="E282" s="2">
        <f t="shared" si="1"/>
        <v>1136.93</v>
      </c>
      <c r="F282" s="2" t="s">
        <v>1206</v>
      </c>
      <c r="G282" s="2">
        <f t="shared" si="2"/>
        <v>1136.93</v>
      </c>
      <c r="H282" s="2" t="str">
        <f t="shared" si="3"/>
        <v>OK</v>
      </c>
      <c r="I282" s="2">
        <f t="array" ref="I282">IFERROR(XLOOKUP(XLOOKUP(A282, AP_Subledger!A:A, AP_Subledger!H:H), Tax_Rates_Reference!A:A, Tax_Rates_Reference!C:C), "")
</f>
        <v>0.075</v>
      </c>
      <c r="J282" s="2" t="b">
        <f t="shared" si="4"/>
        <v>1</v>
      </c>
    </row>
    <row r="283">
      <c r="A283" s="2" t="s">
        <v>326</v>
      </c>
      <c r="B283" s="2" t="s">
        <v>1205</v>
      </c>
      <c r="C283" s="8">
        <v>4440.22</v>
      </c>
      <c r="D283" s="8">
        <v>0.075</v>
      </c>
      <c r="E283" s="2">
        <f t="shared" si="1"/>
        <v>333.02</v>
      </c>
      <c r="F283" s="2" t="s">
        <v>1206</v>
      </c>
      <c r="G283" s="2">
        <f t="shared" si="2"/>
        <v>333.02</v>
      </c>
      <c r="H283" s="2" t="str">
        <f t="shared" si="3"/>
        <v>OK</v>
      </c>
      <c r="I283" s="2">
        <f t="array" ref="I283">IFERROR(XLOOKUP(XLOOKUP(A283, AP_Subledger!A:A, AP_Subledger!H:H), Tax_Rates_Reference!A:A, Tax_Rates_Reference!C:C), "")
</f>
        <v>0.075</v>
      </c>
      <c r="J283" s="2" t="b">
        <f t="shared" si="4"/>
        <v>1</v>
      </c>
    </row>
    <row r="284">
      <c r="A284" s="2" t="s">
        <v>327</v>
      </c>
      <c r="B284" s="2" t="s">
        <v>1205</v>
      </c>
      <c r="C284" s="8">
        <v>24616.61</v>
      </c>
      <c r="D284" s="8">
        <v>0.06</v>
      </c>
      <c r="E284" s="2">
        <f t="shared" si="1"/>
        <v>1477</v>
      </c>
      <c r="F284" s="2" t="s">
        <v>1206</v>
      </c>
      <c r="G284" s="2">
        <f t="shared" si="2"/>
        <v>1477</v>
      </c>
      <c r="H284" s="2" t="str">
        <f t="shared" si="3"/>
        <v>OK</v>
      </c>
      <c r="I284" s="2">
        <f t="array" ref="I284">IFERROR(XLOOKUP(XLOOKUP(A284, AP_Subledger!A:A, AP_Subledger!H:H), Tax_Rates_Reference!A:A, Tax_Rates_Reference!C:C), "")
</f>
        <v>0.06</v>
      </c>
      <c r="J284" s="2" t="b">
        <f t="shared" si="4"/>
        <v>1</v>
      </c>
    </row>
    <row r="285">
      <c r="A285" s="2" t="s">
        <v>328</v>
      </c>
      <c r="B285" s="2" t="s">
        <v>1205</v>
      </c>
      <c r="C285" s="8">
        <v>10190.85</v>
      </c>
      <c r="D285" s="8">
        <v>0.075</v>
      </c>
      <c r="E285" s="2">
        <f t="shared" si="1"/>
        <v>764.31</v>
      </c>
      <c r="F285" s="2" t="s">
        <v>1206</v>
      </c>
      <c r="G285" s="2">
        <f t="shared" si="2"/>
        <v>764.31</v>
      </c>
      <c r="H285" s="2" t="str">
        <f t="shared" si="3"/>
        <v>OK</v>
      </c>
      <c r="I285" s="2">
        <f t="array" ref="I285">IFERROR(XLOOKUP(XLOOKUP(A285, AP_Subledger!A:A, AP_Subledger!H:H), Tax_Rates_Reference!A:A, Tax_Rates_Reference!C:C), "")
</f>
        <v>0.075</v>
      </c>
      <c r="J285" s="2" t="b">
        <f t="shared" si="4"/>
        <v>1</v>
      </c>
    </row>
    <row r="286">
      <c r="A286" s="2" t="s">
        <v>329</v>
      </c>
      <c r="B286" s="2" t="s">
        <v>1205</v>
      </c>
      <c r="C286" s="8">
        <v>17527.06</v>
      </c>
      <c r="D286" s="8">
        <v>0.06</v>
      </c>
      <c r="E286" s="2">
        <f t="shared" si="1"/>
        <v>1051.62</v>
      </c>
      <c r="F286" s="2" t="s">
        <v>1206</v>
      </c>
      <c r="G286" s="2">
        <f t="shared" si="2"/>
        <v>1051.62</v>
      </c>
      <c r="H286" s="2" t="str">
        <f t="shared" si="3"/>
        <v>OK</v>
      </c>
      <c r="I286" s="2">
        <f t="array" ref="I286">IFERROR(XLOOKUP(XLOOKUP(A286, AP_Subledger!A:A, AP_Subledger!H:H), Tax_Rates_Reference!A:A, Tax_Rates_Reference!C:C), "")
</f>
        <v>0.06</v>
      </c>
      <c r="J286" s="2" t="b">
        <f t="shared" si="4"/>
        <v>1</v>
      </c>
    </row>
    <row r="287">
      <c r="A287" s="2" t="s">
        <v>330</v>
      </c>
      <c r="B287" s="2" t="s">
        <v>1205</v>
      </c>
      <c r="C287" s="8">
        <v>18244.99</v>
      </c>
      <c r="D287" s="8">
        <v>0.065</v>
      </c>
      <c r="E287" s="2">
        <f t="shared" si="1"/>
        <v>1185.92</v>
      </c>
      <c r="F287" s="2" t="s">
        <v>1206</v>
      </c>
      <c r="G287" s="2">
        <f t="shared" si="2"/>
        <v>1185.92</v>
      </c>
      <c r="H287" s="2" t="str">
        <f t="shared" si="3"/>
        <v>OK</v>
      </c>
      <c r="I287" s="2">
        <f t="array" ref="I287">IFERROR(XLOOKUP(XLOOKUP(A287, AP_Subledger!A:A, AP_Subledger!H:H), Tax_Rates_Reference!A:A, Tax_Rates_Reference!C:C), "")
</f>
        <v>0.065</v>
      </c>
      <c r="J287" s="2" t="b">
        <f t="shared" si="4"/>
        <v>1</v>
      </c>
    </row>
    <row r="288">
      <c r="A288" s="2" t="s">
        <v>331</v>
      </c>
      <c r="B288" s="2" t="s">
        <v>1205</v>
      </c>
      <c r="C288" s="8">
        <v>3991.14</v>
      </c>
      <c r="D288" s="8">
        <v>0.075</v>
      </c>
      <c r="E288" s="2">
        <f t="shared" si="1"/>
        <v>299.34</v>
      </c>
      <c r="F288" s="2" t="s">
        <v>1206</v>
      </c>
      <c r="G288" s="2">
        <f t="shared" si="2"/>
        <v>299.34</v>
      </c>
      <c r="H288" s="2" t="str">
        <f t="shared" si="3"/>
        <v>OK</v>
      </c>
      <c r="I288" s="2">
        <f t="array" ref="I288">IFERROR(XLOOKUP(XLOOKUP(A288, AP_Subledger!A:A, AP_Subledger!H:H), Tax_Rates_Reference!A:A, Tax_Rates_Reference!C:C), "")
</f>
        <v>0.075</v>
      </c>
      <c r="J288" s="2" t="b">
        <f t="shared" si="4"/>
        <v>1</v>
      </c>
    </row>
    <row r="289">
      <c r="A289" s="2" t="s">
        <v>332</v>
      </c>
      <c r="B289" s="2" t="s">
        <v>1205</v>
      </c>
      <c r="C289" s="8">
        <v>739.39</v>
      </c>
      <c r="D289" s="8">
        <v>0.07</v>
      </c>
      <c r="E289" s="2">
        <f t="shared" si="1"/>
        <v>51.76</v>
      </c>
      <c r="F289" s="2" t="s">
        <v>1206</v>
      </c>
      <c r="G289" s="2">
        <f t="shared" si="2"/>
        <v>51.76</v>
      </c>
      <c r="H289" s="2" t="str">
        <f t="shared" si="3"/>
        <v>OK</v>
      </c>
      <c r="I289" s="2">
        <f t="array" ref="I289">IFERROR(XLOOKUP(XLOOKUP(A289, AP_Subledger!A:A, AP_Subledger!H:H), Tax_Rates_Reference!A:A, Tax_Rates_Reference!C:C), "")
</f>
        <v>0.07</v>
      </c>
      <c r="J289" s="2" t="b">
        <f t="shared" si="4"/>
        <v>1</v>
      </c>
    </row>
    <row r="290">
      <c r="A290" s="2" t="s">
        <v>333</v>
      </c>
      <c r="B290" s="2" t="s">
        <v>1205</v>
      </c>
      <c r="C290" s="8">
        <v>9090.36</v>
      </c>
      <c r="D290" s="8">
        <v>0.07</v>
      </c>
      <c r="E290" s="2">
        <f t="shared" si="1"/>
        <v>636.33</v>
      </c>
      <c r="F290" s="2" t="s">
        <v>1206</v>
      </c>
      <c r="G290" s="2">
        <f t="shared" si="2"/>
        <v>636.33</v>
      </c>
      <c r="H290" s="2" t="str">
        <f t="shared" si="3"/>
        <v>OK</v>
      </c>
      <c r="I290" s="2">
        <f t="array" ref="I290">IFERROR(XLOOKUP(XLOOKUP(A290, AP_Subledger!A:A, AP_Subledger!H:H), Tax_Rates_Reference!A:A, Tax_Rates_Reference!C:C), "")
</f>
        <v>0.07</v>
      </c>
      <c r="J290" s="2" t="b">
        <f t="shared" si="4"/>
        <v>1</v>
      </c>
    </row>
    <row r="291">
      <c r="A291" s="2" t="s">
        <v>334</v>
      </c>
      <c r="B291" s="2" t="s">
        <v>1205</v>
      </c>
      <c r="C291" s="8">
        <v>14404.75</v>
      </c>
      <c r="D291" s="8">
        <v>0.06</v>
      </c>
      <c r="E291" s="2">
        <f t="shared" si="1"/>
        <v>864.29</v>
      </c>
      <c r="F291" s="2" t="s">
        <v>1206</v>
      </c>
      <c r="G291" s="2">
        <f t="shared" si="2"/>
        <v>864.29</v>
      </c>
      <c r="H291" s="2" t="str">
        <f t="shared" si="3"/>
        <v>OK</v>
      </c>
      <c r="I291" s="2">
        <f t="array" ref="I291">IFERROR(XLOOKUP(XLOOKUP(A291, AP_Subledger!A:A, AP_Subledger!H:H), Tax_Rates_Reference!A:A, Tax_Rates_Reference!C:C), "")
</f>
        <v>0.06</v>
      </c>
      <c r="J291" s="2" t="b">
        <f t="shared" si="4"/>
        <v>1</v>
      </c>
    </row>
    <row r="292">
      <c r="A292" s="2" t="s">
        <v>335</v>
      </c>
      <c r="B292" s="2" t="s">
        <v>1205</v>
      </c>
      <c r="C292" s="8">
        <v>3061.91</v>
      </c>
      <c r="D292" s="8">
        <v>0.065</v>
      </c>
      <c r="E292" s="2">
        <f t="shared" si="1"/>
        <v>199.02</v>
      </c>
      <c r="F292" s="2" t="s">
        <v>1206</v>
      </c>
      <c r="G292" s="2">
        <f t="shared" si="2"/>
        <v>199.02</v>
      </c>
      <c r="H292" s="2" t="str">
        <f t="shared" si="3"/>
        <v>OK</v>
      </c>
      <c r="I292" s="2">
        <f t="array" ref="I292">IFERROR(XLOOKUP(XLOOKUP(A292, AP_Subledger!A:A, AP_Subledger!H:H), Tax_Rates_Reference!A:A, Tax_Rates_Reference!C:C), "")
</f>
        <v>0.065</v>
      </c>
      <c r="J292" s="2" t="b">
        <f t="shared" si="4"/>
        <v>1</v>
      </c>
    </row>
    <row r="293">
      <c r="A293" s="2" t="s">
        <v>336</v>
      </c>
      <c r="B293" s="2" t="s">
        <v>1205</v>
      </c>
      <c r="C293" s="8">
        <v>1773.3</v>
      </c>
      <c r="D293" s="8">
        <v>0.07</v>
      </c>
      <c r="E293" s="2">
        <f t="shared" si="1"/>
        <v>124.13</v>
      </c>
      <c r="F293" s="2" t="s">
        <v>1206</v>
      </c>
      <c r="G293" s="2">
        <f t="shared" si="2"/>
        <v>124.13</v>
      </c>
      <c r="H293" s="2" t="str">
        <f t="shared" si="3"/>
        <v>OK</v>
      </c>
      <c r="I293" s="2">
        <f t="array" ref="I293">IFERROR(XLOOKUP(XLOOKUP(A293, AP_Subledger!A:A, AP_Subledger!H:H), Tax_Rates_Reference!A:A, Tax_Rates_Reference!C:C), "")
</f>
        <v>0.07</v>
      </c>
      <c r="J293" s="2" t="b">
        <f t="shared" si="4"/>
        <v>1</v>
      </c>
    </row>
    <row r="294">
      <c r="A294" s="2" t="s">
        <v>337</v>
      </c>
      <c r="B294" s="2" t="s">
        <v>1205</v>
      </c>
      <c r="C294" s="8">
        <v>20142.34</v>
      </c>
      <c r="D294" s="8">
        <v>0.065</v>
      </c>
      <c r="E294" s="2">
        <f t="shared" si="1"/>
        <v>1309.25</v>
      </c>
      <c r="F294" s="2" t="s">
        <v>1206</v>
      </c>
      <c r="G294" s="2">
        <f t="shared" si="2"/>
        <v>1309.25</v>
      </c>
      <c r="H294" s="2" t="str">
        <f t="shared" si="3"/>
        <v>OK</v>
      </c>
      <c r="I294" s="2">
        <f t="array" ref="I294">IFERROR(XLOOKUP(XLOOKUP(A294, AP_Subledger!A:A, AP_Subledger!H:H), Tax_Rates_Reference!A:A, Tax_Rates_Reference!C:C), "")
</f>
        <v>0.065</v>
      </c>
      <c r="J294" s="2" t="b">
        <f t="shared" si="4"/>
        <v>1</v>
      </c>
    </row>
    <row r="295">
      <c r="A295" s="2" t="s">
        <v>338</v>
      </c>
      <c r="B295" s="2" t="s">
        <v>1205</v>
      </c>
      <c r="C295" s="8">
        <v>15138.16</v>
      </c>
      <c r="D295" s="8">
        <v>0.065</v>
      </c>
      <c r="E295" s="2">
        <f t="shared" si="1"/>
        <v>983.98</v>
      </c>
      <c r="F295" s="2" t="s">
        <v>1206</v>
      </c>
      <c r="G295" s="2">
        <f t="shared" si="2"/>
        <v>983.98</v>
      </c>
      <c r="H295" s="2" t="str">
        <f t="shared" si="3"/>
        <v>OK</v>
      </c>
      <c r="I295" s="2">
        <f t="array" ref="I295">IFERROR(XLOOKUP(XLOOKUP(A295, AP_Subledger!A:A, AP_Subledger!H:H), Tax_Rates_Reference!A:A, Tax_Rates_Reference!C:C), "")
</f>
        <v>0.065</v>
      </c>
      <c r="J295" s="2" t="b">
        <f t="shared" si="4"/>
        <v>1</v>
      </c>
    </row>
    <row r="296">
      <c r="A296" s="2" t="s">
        <v>339</v>
      </c>
      <c r="B296" s="2" t="s">
        <v>1205</v>
      </c>
      <c r="C296" s="8">
        <v>18423.94</v>
      </c>
      <c r="D296" s="8">
        <v>0.075</v>
      </c>
      <c r="E296" s="2">
        <f t="shared" si="1"/>
        <v>1381.8</v>
      </c>
      <c r="F296" s="2" t="s">
        <v>1206</v>
      </c>
      <c r="G296" s="2">
        <f t="shared" si="2"/>
        <v>1381.8</v>
      </c>
      <c r="H296" s="2" t="str">
        <f t="shared" si="3"/>
        <v>OK</v>
      </c>
      <c r="I296" s="2">
        <f t="array" ref="I296">IFERROR(XLOOKUP(XLOOKUP(A296, AP_Subledger!A:A, AP_Subledger!H:H), Tax_Rates_Reference!A:A, Tax_Rates_Reference!C:C), "")
</f>
        <v>0.075</v>
      </c>
      <c r="J296" s="2" t="b">
        <f t="shared" si="4"/>
        <v>1</v>
      </c>
    </row>
    <row r="297">
      <c r="A297" s="2" t="s">
        <v>340</v>
      </c>
      <c r="B297" s="2" t="s">
        <v>1205</v>
      </c>
      <c r="C297" s="8">
        <v>12242.33</v>
      </c>
      <c r="D297" s="8">
        <v>0.075</v>
      </c>
      <c r="E297" s="2">
        <f t="shared" si="1"/>
        <v>918.17</v>
      </c>
      <c r="F297" s="2" t="s">
        <v>1206</v>
      </c>
      <c r="G297" s="2">
        <f t="shared" si="2"/>
        <v>918.17</v>
      </c>
      <c r="H297" s="2" t="str">
        <f t="shared" si="3"/>
        <v>OK</v>
      </c>
      <c r="I297" s="2">
        <f t="array" ref="I297">IFERROR(XLOOKUP(XLOOKUP(A297, AP_Subledger!A:A, AP_Subledger!H:H), Tax_Rates_Reference!A:A, Tax_Rates_Reference!C:C), "")
</f>
        <v>0.075</v>
      </c>
      <c r="J297" s="2" t="b">
        <f t="shared" si="4"/>
        <v>1</v>
      </c>
    </row>
    <row r="298">
      <c r="A298" s="2" t="s">
        <v>341</v>
      </c>
      <c r="B298" s="2" t="s">
        <v>1205</v>
      </c>
      <c r="C298" s="8">
        <v>18734.84</v>
      </c>
      <c r="D298" s="8">
        <v>0.065</v>
      </c>
      <c r="E298" s="2">
        <f t="shared" si="1"/>
        <v>1217.76</v>
      </c>
      <c r="F298" s="2" t="s">
        <v>1206</v>
      </c>
      <c r="G298" s="2">
        <f t="shared" si="2"/>
        <v>1217.76</v>
      </c>
      <c r="H298" s="2" t="str">
        <f t="shared" si="3"/>
        <v>OK</v>
      </c>
      <c r="I298" s="2">
        <f t="array" ref="I298">IFERROR(XLOOKUP(XLOOKUP(A298, AP_Subledger!A:A, AP_Subledger!H:H), Tax_Rates_Reference!A:A, Tax_Rates_Reference!C:C), "")
</f>
        <v>0.065</v>
      </c>
      <c r="J298" s="2" t="b">
        <f t="shared" si="4"/>
        <v>1</v>
      </c>
    </row>
    <row r="299">
      <c r="A299" s="2" t="s">
        <v>342</v>
      </c>
      <c r="B299" s="2" t="s">
        <v>1205</v>
      </c>
      <c r="C299" s="8">
        <v>12705.8</v>
      </c>
      <c r="D299" s="8">
        <v>0.07</v>
      </c>
      <c r="E299" s="2">
        <f t="shared" si="1"/>
        <v>889.41</v>
      </c>
      <c r="F299" s="2" t="s">
        <v>1206</v>
      </c>
      <c r="G299" s="2">
        <f t="shared" si="2"/>
        <v>889.41</v>
      </c>
      <c r="H299" s="2" t="str">
        <f t="shared" si="3"/>
        <v>OK</v>
      </c>
      <c r="I299" s="2">
        <f t="array" ref="I299">IFERROR(XLOOKUP(XLOOKUP(A299, AP_Subledger!A:A, AP_Subledger!H:H), Tax_Rates_Reference!A:A, Tax_Rates_Reference!C:C), "")
</f>
        <v>0.07</v>
      </c>
      <c r="J299" s="2" t="b">
        <f t="shared" si="4"/>
        <v>1</v>
      </c>
    </row>
    <row r="300">
      <c r="A300" s="2" t="s">
        <v>343</v>
      </c>
      <c r="B300" s="2" t="s">
        <v>1205</v>
      </c>
      <c r="C300" s="8">
        <v>24910.18</v>
      </c>
      <c r="D300" s="8">
        <v>0.065</v>
      </c>
      <c r="E300" s="2">
        <f t="shared" si="1"/>
        <v>1619.16</v>
      </c>
      <c r="F300" s="2" t="s">
        <v>1206</v>
      </c>
      <c r="G300" s="2">
        <f t="shared" si="2"/>
        <v>1619.16</v>
      </c>
      <c r="H300" s="2" t="str">
        <f t="shared" si="3"/>
        <v>OK</v>
      </c>
      <c r="I300" s="2">
        <f t="array" ref="I300">IFERROR(XLOOKUP(XLOOKUP(A300, AP_Subledger!A:A, AP_Subledger!H:H), Tax_Rates_Reference!A:A, Tax_Rates_Reference!C:C), "")
</f>
        <v>0.065</v>
      </c>
      <c r="J300" s="2" t="b">
        <f t="shared" si="4"/>
        <v>1</v>
      </c>
    </row>
    <row r="301">
      <c r="A301" s="2" t="s">
        <v>344</v>
      </c>
      <c r="B301" s="2" t="s">
        <v>1205</v>
      </c>
      <c r="C301" s="8">
        <v>10379.9</v>
      </c>
      <c r="D301" s="8">
        <v>0.07</v>
      </c>
      <c r="E301" s="2">
        <f t="shared" si="1"/>
        <v>726.59</v>
      </c>
      <c r="F301" s="2" t="s">
        <v>1206</v>
      </c>
      <c r="G301" s="2">
        <f t="shared" si="2"/>
        <v>726.59</v>
      </c>
      <c r="H301" s="2" t="str">
        <f t="shared" si="3"/>
        <v>OK</v>
      </c>
      <c r="I301" s="2">
        <f t="array" ref="I301">IFERROR(XLOOKUP(XLOOKUP(A301, AP_Subledger!A:A, AP_Subledger!H:H), Tax_Rates_Reference!A:A, Tax_Rates_Reference!C:C), "")
</f>
        <v>0.07</v>
      </c>
      <c r="J301" s="2" t="b">
        <f t="shared" si="4"/>
        <v>1</v>
      </c>
    </row>
    <row r="302">
      <c r="A302" s="2" t="s">
        <v>345</v>
      </c>
      <c r="B302" s="2" t="s">
        <v>1205</v>
      </c>
      <c r="C302" s="8">
        <v>11834.26</v>
      </c>
      <c r="D302" s="8">
        <v>0.06</v>
      </c>
      <c r="E302" s="2">
        <f t="shared" si="1"/>
        <v>710.06</v>
      </c>
      <c r="F302" s="2" t="s">
        <v>1206</v>
      </c>
      <c r="G302" s="2">
        <f t="shared" si="2"/>
        <v>710.06</v>
      </c>
      <c r="H302" s="2" t="str">
        <f t="shared" si="3"/>
        <v>OK</v>
      </c>
      <c r="I302" s="2">
        <f t="array" ref="I302">IFERROR(XLOOKUP(XLOOKUP(A302, AP_Subledger!A:A, AP_Subledger!H:H), Tax_Rates_Reference!A:A, Tax_Rates_Reference!C:C), "")
</f>
        <v>0.06</v>
      </c>
      <c r="J302" s="2" t="b">
        <f t="shared" si="4"/>
        <v>1</v>
      </c>
    </row>
    <row r="303">
      <c r="A303" s="2" t="s">
        <v>346</v>
      </c>
      <c r="B303" s="2" t="s">
        <v>1205</v>
      </c>
      <c r="C303" s="8">
        <v>21233.01</v>
      </c>
      <c r="D303" s="8">
        <v>0.06</v>
      </c>
      <c r="E303" s="2">
        <f t="shared" si="1"/>
        <v>1273.98</v>
      </c>
      <c r="F303" s="2" t="s">
        <v>1206</v>
      </c>
      <c r="G303" s="2">
        <f t="shared" si="2"/>
        <v>1273.98</v>
      </c>
      <c r="H303" s="2" t="str">
        <f t="shared" si="3"/>
        <v>OK</v>
      </c>
      <c r="I303" s="2">
        <f t="array" ref="I303">IFERROR(XLOOKUP(XLOOKUP(A303, AP_Subledger!A:A, AP_Subledger!H:H), Tax_Rates_Reference!A:A, Tax_Rates_Reference!C:C), "")
</f>
        <v>0.06</v>
      </c>
      <c r="J303" s="2" t="b">
        <f t="shared" si="4"/>
        <v>1</v>
      </c>
    </row>
    <row r="304">
      <c r="A304" s="2" t="s">
        <v>347</v>
      </c>
      <c r="B304" s="2" t="s">
        <v>1205</v>
      </c>
      <c r="C304" s="8">
        <v>13092.9</v>
      </c>
      <c r="D304" s="8">
        <v>0.07</v>
      </c>
      <c r="E304" s="2">
        <f t="shared" si="1"/>
        <v>916.5</v>
      </c>
      <c r="F304" s="2" t="s">
        <v>1206</v>
      </c>
      <c r="G304" s="2">
        <f t="shared" si="2"/>
        <v>916.5</v>
      </c>
      <c r="H304" s="2" t="str">
        <f t="shared" si="3"/>
        <v>OK</v>
      </c>
      <c r="I304" s="2">
        <f t="array" ref="I304">IFERROR(XLOOKUP(XLOOKUP(A304, AP_Subledger!A:A, AP_Subledger!H:H), Tax_Rates_Reference!A:A, Tax_Rates_Reference!C:C), "")
</f>
        <v>0.07</v>
      </c>
      <c r="J304" s="2" t="b">
        <f t="shared" si="4"/>
        <v>1</v>
      </c>
    </row>
    <row r="305">
      <c r="A305" s="2" t="s">
        <v>348</v>
      </c>
      <c r="B305" s="2" t="s">
        <v>1205</v>
      </c>
      <c r="C305" s="8">
        <v>24807.27</v>
      </c>
      <c r="D305" s="8">
        <v>0.06</v>
      </c>
      <c r="E305" s="2">
        <f t="shared" si="1"/>
        <v>1488.44</v>
      </c>
      <c r="F305" s="2" t="s">
        <v>1206</v>
      </c>
      <c r="G305" s="2">
        <f t="shared" si="2"/>
        <v>1488.44</v>
      </c>
      <c r="H305" s="2" t="str">
        <f t="shared" si="3"/>
        <v>OK</v>
      </c>
      <c r="I305" s="2">
        <f t="array" ref="I305">IFERROR(XLOOKUP(XLOOKUP(A305, AP_Subledger!A:A, AP_Subledger!H:H), Tax_Rates_Reference!A:A, Tax_Rates_Reference!C:C), "")
</f>
        <v>0.06</v>
      </c>
      <c r="J305" s="2" t="b">
        <f t="shared" si="4"/>
        <v>1</v>
      </c>
    </row>
    <row r="306">
      <c r="A306" s="2" t="s">
        <v>349</v>
      </c>
      <c r="B306" s="2" t="s">
        <v>1205</v>
      </c>
      <c r="C306" s="8">
        <v>15973.23</v>
      </c>
      <c r="D306" s="8">
        <v>0.07</v>
      </c>
      <c r="E306" s="2">
        <f t="shared" si="1"/>
        <v>958.39</v>
      </c>
      <c r="F306" s="2" t="s">
        <v>1206</v>
      </c>
      <c r="G306" s="2">
        <f t="shared" si="2"/>
        <v>1118.13</v>
      </c>
      <c r="H306" s="2" t="str">
        <f t="shared" si="3"/>
        <v>Mismatch</v>
      </c>
      <c r="I306" s="2">
        <f t="array" ref="I306">IFERROR(XLOOKUP(XLOOKUP(A306, AP_Subledger!A:A, AP_Subledger!H:H), Tax_Rates_Reference!A:A, Tax_Rates_Reference!C:C), "")
</f>
        <v>0.07</v>
      </c>
      <c r="J306" s="2" t="b">
        <f t="shared" si="4"/>
        <v>1</v>
      </c>
    </row>
    <row r="307">
      <c r="A307" s="2" t="s">
        <v>350</v>
      </c>
      <c r="B307" s="2" t="s">
        <v>1205</v>
      </c>
      <c r="C307" s="8">
        <v>15245.46</v>
      </c>
      <c r="D307" s="8">
        <v>0.06</v>
      </c>
      <c r="E307" s="2">
        <f t="shared" si="1"/>
        <v>914.73</v>
      </c>
      <c r="F307" s="2" t="s">
        <v>1206</v>
      </c>
      <c r="G307" s="2">
        <f t="shared" si="2"/>
        <v>914.73</v>
      </c>
      <c r="H307" s="2" t="str">
        <f t="shared" si="3"/>
        <v>OK</v>
      </c>
      <c r="I307" s="2">
        <f t="array" ref="I307">IFERROR(XLOOKUP(XLOOKUP(A307, AP_Subledger!A:A, AP_Subledger!H:H), Tax_Rates_Reference!A:A, Tax_Rates_Reference!C:C), "")
</f>
        <v>0.06</v>
      </c>
      <c r="J307" s="2" t="b">
        <f t="shared" si="4"/>
        <v>1</v>
      </c>
    </row>
    <row r="308">
      <c r="A308" s="2" t="s">
        <v>351</v>
      </c>
      <c r="B308" s="2" t="s">
        <v>1205</v>
      </c>
      <c r="C308" s="8">
        <v>10619.26</v>
      </c>
      <c r="D308" s="8">
        <v>0.065</v>
      </c>
      <c r="E308" s="2">
        <f t="shared" si="1"/>
        <v>1380.5</v>
      </c>
      <c r="F308" s="2" t="s">
        <v>1206</v>
      </c>
      <c r="G308" s="2">
        <f t="shared" si="2"/>
        <v>690.25</v>
      </c>
      <c r="H308" s="2" t="str">
        <f t="shared" si="3"/>
        <v>Mismatch</v>
      </c>
      <c r="I308" s="2">
        <f t="array" ref="I308">IFERROR(XLOOKUP(XLOOKUP(A308, AP_Subledger!A:A, AP_Subledger!H:H), Tax_Rates_Reference!A:A, Tax_Rates_Reference!C:C), "")
</f>
        <v>0.065</v>
      </c>
      <c r="J308" s="2" t="b">
        <f t="shared" si="4"/>
        <v>1</v>
      </c>
    </row>
    <row r="309">
      <c r="A309" s="2" t="s">
        <v>352</v>
      </c>
      <c r="B309" s="2" t="s">
        <v>1205</v>
      </c>
      <c r="C309" s="8">
        <v>10423.01</v>
      </c>
      <c r="D309" s="8">
        <v>0.07</v>
      </c>
      <c r="E309" s="2">
        <f t="shared" si="1"/>
        <v>729.61</v>
      </c>
      <c r="F309" s="2" t="s">
        <v>1206</v>
      </c>
      <c r="G309" s="2">
        <f t="shared" si="2"/>
        <v>729.61</v>
      </c>
      <c r="H309" s="2" t="str">
        <f t="shared" si="3"/>
        <v>OK</v>
      </c>
      <c r="I309" s="2">
        <f t="array" ref="I309">IFERROR(XLOOKUP(XLOOKUP(A309, AP_Subledger!A:A, AP_Subledger!H:H), Tax_Rates_Reference!A:A, Tax_Rates_Reference!C:C), "")
</f>
        <v>0.07</v>
      </c>
      <c r="J309" s="2" t="b">
        <f t="shared" si="4"/>
        <v>1</v>
      </c>
    </row>
    <row r="310">
      <c r="A310" s="2" t="s">
        <v>353</v>
      </c>
      <c r="B310" s="2" t="s">
        <v>1205</v>
      </c>
      <c r="C310" s="8">
        <v>10081.5</v>
      </c>
      <c r="D310" s="8">
        <v>0.065</v>
      </c>
      <c r="E310" s="2">
        <f t="shared" si="1"/>
        <v>655.3</v>
      </c>
      <c r="F310" s="2" t="s">
        <v>1206</v>
      </c>
      <c r="G310" s="2">
        <f t="shared" si="2"/>
        <v>655.3</v>
      </c>
      <c r="H310" s="2" t="str">
        <f t="shared" si="3"/>
        <v>OK</v>
      </c>
      <c r="I310" s="2">
        <f t="array" ref="I310">IFERROR(XLOOKUP(XLOOKUP(A310, AP_Subledger!A:A, AP_Subledger!H:H), Tax_Rates_Reference!A:A, Tax_Rates_Reference!C:C), "")
</f>
        <v>0.065</v>
      </c>
      <c r="J310" s="2" t="b">
        <f t="shared" si="4"/>
        <v>1</v>
      </c>
    </row>
    <row r="311">
      <c r="A311" s="2" t="s">
        <v>354</v>
      </c>
      <c r="B311" s="2" t="s">
        <v>1205</v>
      </c>
      <c r="C311" s="8">
        <v>721.24</v>
      </c>
      <c r="D311" s="8">
        <v>0.065</v>
      </c>
      <c r="E311" s="2">
        <f t="shared" si="1"/>
        <v>46.88</v>
      </c>
      <c r="F311" s="2" t="s">
        <v>1206</v>
      </c>
      <c r="G311" s="2">
        <f t="shared" si="2"/>
        <v>46.88</v>
      </c>
      <c r="H311" s="2" t="str">
        <f t="shared" si="3"/>
        <v>OK</v>
      </c>
      <c r="I311" s="2">
        <f t="array" ref="I311">IFERROR(XLOOKUP(XLOOKUP(A311, AP_Subledger!A:A, AP_Subledger!H:H), Tax_Rates_Reference!A:A, Tax_Rates_Reference!C:C), "")
</f>
        <v>0.065</v>
      </c>
      <c r="J311" s="2" t="b">
        <f t="shared" si="4"/>
        <v>1</v>
      </c>
    </row>
    <row r="312">
      <c r="A312" s="2" t="s">
        <v>355</v>
      </c>
      <c r="B312" s="2" t="s">
        <v>1205</v>
      </c>
      <c r="C312" s="8">
        <v>11617.84</v>
      </c>
      <c r="D312" s="8">
        <v>0.07</v>
      </c>
      <c r="E312" s="2">
        <f t="shared" si="1"/>
        <v>813.25</v>
      </c>
      <c r="F312" s="2" t="s">
        <v>1206</v>
      </c>
      <c r="G312" s="2">
        <f t="shared" si="2"/>
        <v>813.25</v>
      </c>
      <c r="H312" s="2" t="str">
        <f t="shared" si="3"/>
        <v>OK</v>
      </c>
      <c r="I312" s="2">
        <f t="array" ref="I312">IFERROR(XLOOKUP(XLOOKUP(A312, AP_Subledger!A:A, AP_Subledger!H:H), Tax_Rates_Reference!A:A, Tax_Rates_Reference!C:C), "")
</f>
        <v>0.07</v>
      </c>
      <c r="J312" s="2" t="b">
        <f t="shared" si="4"/>
        <v>1</v>
      </c>
    </row>
    <row r="313">
      <c r="A313" s="2" t="s">
        <v>356</v>
      </c>
      <c r="B313" s="2" t="s">
        <v>1205</v>
      </c>
      <c r="C313" s="8">
        <v>8756.58</v>
      </c>
      <c r="D313" s="8">
        <v>0.09</v>
      </c>
      <c r="E313" s="2">
        <f t="shared" si="1"/>
        <v>788.09</v>
      </c>
      <c r="F313" s="2" t="s">
        <v>1206</v>
      </c>
      <c r="G313" s="2">
        <f t="shared" si="2"/>
        <v>788.09</v>
      </c>
      <c r="H313" s="2" t="str">
        <f t="shared" si="3"/>
        <v>OK</v>
      </c>
      <c r="I313" s="2">
        <f t="array" ref="I313">IFERROR(XLOOKUP(XLOOKUP(A313, AP_Subledger!A:A, AP_Subledger!H:H), Tax_Rates_Reference!A:A, Tax_Rates_Reference!C:C), "")
</f>
        <v>0.07</v>
      </c>
      <c r="J313" s="2" t="b">
        <f t="shared" si="4"/>
        <v>0</v>
      </c>
    </row>
    <row r="314">
      <c r="A314" s="2" t="s">
        <v>357</v>
      </c>
      <c r="B314" s="2" t="s">
        <v>1205</v>
      </c>
      <c r="C314" s="8">
        <v>15620.05</v>
      </c>
      <c r="D314" s="8">
        <v>0.07</v>
      </c>
      <c r="E314" s="2">
        <f t="shared" si="1"/>
        <v>1093.4</v>
      </c>
      <c r="F314" s="2" t="s">
        <v>1206</v>
      </c>
      <c r="G314" s="2">
        <f t="shared" si="2"/>
        <v>1093.4</v>
      </c>
      <c r="H314" s="2" t="str">
        <f t="shared" si="3"/>
        <v>OK</v>
      </c>
      <c r="I314" s="2">
        <f t="array" ref="I314">IFERROR(XLOOKUP(XLOOKUP(A314, AP_Subledger!A:A, AP_Subledger!H:H), Tax_Rates_Reference!A:A, Tax_Rates_Reference!C:C), "")
</f>
        <v>0.07</v>
      </c>
      <c r="J314" s="2" t="b">
        <f t="shared" si="4"/>
        <v>1</v>
      </c>
    </row>
    <row r="315">
      <c r="A315" s="2" t="s">
        <v>358</v>
      </c>
      <c r="B315" s="2" t="s">
        <v>1205</v>
      </c>
      <c r="C315" s="8">
        <v>18541.85</v>
      </c>
      <c r="D315" s="8">
        <v>0.075</v>
      </c>
      <c r="E315" s="2">
        <f t="shared" si="1"/>
        <v>1576.06</v>
      </c>
      <c r="F315" s="2" t="s">
        <v>1206</v>
      </c>
      <c r="G315" s="2">
        <f t="shared" si="2"/>
        <v>1390.64</v>
      </c>
      <c r="H315" s="2" t="str">
        <f t="shared" si="3"/>
        <v>Mismatch</v>
      </c>
      <c r="I315" s="2">
        <f t="array" ref="I315">IFERROR(XLOOKUP(XLOOKUP(A315, AP_Subledger!A:A, AP_Subledger!H:H), Tax_Rates_Reference!A:A, Tax_Rates_Reference!C:C), "")
</f>
        <v>0.075</v>
      </c>
      <c r="J315" s="2" t="b">
        <f t="shared" si="4"/>
        <v>1</v>
      </c>
    </row>
    <row r="316">
      <c r="A316" s="2" t="s">
        <v>359</v>
      </c>
      <c r="B316" s="2" t="s">
        <v>1205</v>
      </c>
      <c r="C316" s="8">
        <v>20238.92</v>
      </c>
      <c r="D316" s="8">
        <v>0.06</v>
      </c>
      <c r="E316" s="2">
        <f t="shared" si="1"/>
        <v>1214.34</v>
      </c>
      <c r="F316" s="2" t="s">
        <v>1206</v>
      </c>
      <c r="G316" s="2">
        <f t="shared" si="2"/>
        <v>1214.34</v>
      </c>
      <c r="H316" s="2" t="str">
        <f t="shared" si="3"/>
        <v>OK</v>
      </c>
      <c r="I316" s="2">
        <f t="array" ref="I316">IFERROR(XLOOKUP(XLOOKUP(A316, AP_Subledger!A:A, AP_Subledger!H:H), Tax_Rates_Reference!A:A, Tax_Rates_Reference!C:C), "")
</f>
        <v>0.06</v>
      </c>
      <c r="J316" s="2" t="b">
        <f t="shared" si="4"/>
        <v>1</v>
      </c>
    </row>
    <row r="317">
      <c r="A317" s="2" t="s">
        <v>360</v>
      </c>
      <c r="B317" s="2" t="s">
        <v>1205</v>
      </c>
      <c r="C317" s="8">
        <v>1337.6</v>
      </c>
      <c r="D317" s="8">
        <v>0.075</v>
      </c>
      <c r="E317" s="2">
        <f t="shared" si="1"/>
        <v>113.7</v>
      </c>
      <c r="F317" s="2" t="s">
        <v>1206</v>
      </c>
      <c r="G317" s="2">
        <f t="shared" si="2"/>
        <v>100.32</v>
      </c>
      <c r="H317" s="2" t="str">
        <f t="shared" si="3"/>
        <v>Mismatch</v>
      </c>
      <c r="I317" s="2">
        <f t="array" ref="I317">IFERROR(XLOOKUP(XLOOKUP(A317, AP_Subledger!A:A, AP_Subledger!H:H), Tax_Rates_Reference!A:A, Tax_Rates_Reference!C:C), "")
</f>
        <v>0.075</v>
      </c>
      <c r="J317" s="2" t="b">
        <f t="shared" si="4"/>
        <v>1</v>
      </c>
    </row>
    <row r="318">
      <c r="A318" s="2" t="s">
        <v>361</v>
      </c>
      <c r="B318" s="2" t="s">
        <v>1205</v>
      </c>
      <c r="C318" s="8">
        <v>1463.92</v>
      </c>
      <c r="D318" s="8">
        <v>0.06</v>
      </c>
      <c r="E318" s="2">
        <f t="shared" si="1"/>
        <v>87.84</v>
      </c>
      <c r="F318" s="2" t="s">
        <v>1206</v>
      </c>
      <c r="G318" s="2">
        <f t="shared" si="2"/>
        <v>87.84</v>
      </c>
      <c r="H318" s="2" t="str">
        <f t="shared" si="3"/>
        <v>OK</v>
      </c>
      <c r="I318" s="2">
        <f t="array" ref="I318">IFERROR(XLOOKUP(XLOOKUP(A318, AP_Subledger!A:A, AP_Subledger!H:H), Tax_Rates_Reference!A:A, Tax_Rates_Reference!C:C), "")
</f>
        <v>0.06</v>
      </c>
      <c r="J318" s="2" t="b">
        <f t="shared" si="4"/>
        <v>1</v>
      </c>
    </row>
    <row r="319">
      <c r="A319" s="2" t="s">
        <v>362</v>
      </c>
      <c r="B319" s="2" t="s">
        <v>1205</v>
      </c>
      <c r="C319" s="8">
        <v>14824.43</v>
      </c>
      <c r="D319" s="8">
        <v>0.07</v>
      </c>
      <c r="E319" s="2">
        <f t="shared" si="1"/>
        <v>0</v>
      </c>
      <c r="F319" s="2" t="s">
        <v>1206</v>
      </c>
      <c r="G319" s="2">
        <f t="shared" si="2"/>
        <v>1037.71</v>
      </c>
      <c r="H319" s="2" t="str">
        <f t="shared" si="3"/>
        <v>Mismatch</v>
      </c>
      <c r="I319" s="2">
        <f t="array" ref="I319">IFERROR(XLOOKUP(XLOOKUP(A319, AP_Subledger!A:A, AP_Subledger!H:H), Tax_Rates_Reference!A:A, Tax_Rates_Reference!C:C), "")
</f>
        <v>0.07</v>
      </c>
      <c r="J319" s="2" t="b">
        <f t="shared" si="4"/>
        <v>1</v>
      </c>
    </row>
    <row r="320">
      <c r="A320" s="2" t="s">
        <v>363</v>
      </c>
      <c r="B320" s="2" t="s">
        <v>1205</v>
      </c>
      <c r="C320" s="8">
        <v>17306.21</v>
      </c>
      <c r="D320" s="8">
        <v>0.075</v>
      </c>
      <c r="E320" s="2">
        <f t="shared" si="1"/>
        <v>1297.97</v>
      </c>
      <c r="F320" s="2" t="s">
        <v>1206</v>
      </c>
      <c r="G320" s="2">
        <f t="shared" si="2"/>
        <v>1297.97</v>
      </c>
      <c r="H320" s="2" t="str">
        <f t="shared" si="3"/>
        <v>OK</v>
      </c>
      <c r="I320" s="2">
        <f t="array" ref="I320">IFERROR(XLOOKUP(XLOOKUP(A320, AP_Subledger!A:A, AP_Subledger!H:H), Tax_Rates_Reference!A:A, Tax_Rates_Reference!C:C), "")
</f>
        <v>0.075</v>
      </c>
      <c r="J320" s="2" t="b">
        <f t="shared" si="4"/>
        <v>1</v>
      </c>
    </row>
    <row r="321">
      <c r="A321" s="2" t="s">
        <v>364</v>
      </c>
      <c r="B321" s="2" t="s">
        <v>1205</v>
      </c>
      <c r="C321" s="8">
        <v>11641.13</v>
      </c>
      <c r="D321" s="8">
        <v>0.07</v>
      </c>
      <c r="E321" s="2">
        <f t="shared" si="1"/>
        <v>698.47</v>
      </c>
      <c r="F321" s="2" t="s">
        <v>1206</v>
      </c>
      <c r="G321" s="2">
        <f t="shared" si="2"/>
        <v>814.88</v>
      </c>
      <c r="H321" s="2" t="str">
        <f t="shared" si="3"/>
        <v>Mismatch</v>
      </c>
      <c r="I321" s="2">
        <f t="array" ref="I321">IFERROR(XLOOKUP(XLOOKUP(A321, AP_Subledger!A:A, AP_Subledger!H:H), Tax_Rates_Reference!A:A, Tax_Rates_Reference!C:C), "")
</f>
        <v>0.07</v>
      </c>
      <c r="J321" s="2" t="b">
        <f t="shared" si="4"/>
        <v>1</v>
      </c>
    </row>
    <row r="322">
      <c r="A322" s="2" t="s">
        <v>365</v>
      </c>
      <c r="B322" s="2" t="s">
        <v>1205</v>
      </c>
      <c r="C322" s="8">
        <v>1234.35</v>
      </c>
      <c r="D322" s="8">
        <v>0.075</v>
      </c>
      <c r="E322" s="2">
        <f t="shared" si="1"/>
        <v>92.58</v>
      </c>
      <c r="F322" s="2" t="s">
        <v>1206</v>
      </c>
      <c r="G322" s="2">
        <f t="shared" si="2"/>
        <v>92.58</v>
      </c>
      <c r="H322" s="2" t="str">
        <f t="shared" si="3"/>
        <v>OK</v>
      </c>
      <c r="I322" s="2">
        <f t="array" ref="I322">IFERROR(XLOOKUP(XLOOKUP(A322, AP_Subledger!A:A, AP_Subledger!H:H), Tax_Rates_Reference!A:A, Tax_Rates_Reference!C:C), "")
</f>
        <v>0.075</v>
      </c>
      <c r="J322" s="2" t="b">
        <f t="shared" si="4"/>
        <v>1</v>
      </c>
    </row>
    <row r="323">
      <c r="A323" s="2" t="s">
        <v>366</v>
      </c>
      <c r="B323" s="2" t="s">
        <v>1205</v>
      </c>
      <c r="C323" s="8">
        <v>4478.36</v>
      </c>
      <c r="D323" s="8">
        <v>0.075</v>
      </c>
      <c r="E323" s="2">
        <f t="shared" si="1"/>
        <v>335.88</v>
      </c>
      <c r="F323" s="2" t="s">
        <v>1206</v>
      </c>
      <c r="G323" s="2">
        <f t="shared" si="2"/>
        <v>335.88</v>
      </c>
      <c r="H323" s="2" t="str">
        <f t="shared" si="3"/>
        <v>OK</v>
      </c>
      <c r="I323" s="2">
        <f t="array" ref="I323">IFERROR(XLOOKUP(XLOOKUP(A323, AP_Subledger!A:A, AP_Subledger!H:H), Tax_Rates_Reference!A:A, Tax_Rates_Reference!C:C), "")
</f>
        <v>0.075</v>
      </c>
      <c r="J323" s="2" t="b">
        <f t="shared" si="4"/>
        <v>1</v>
      </c>
    </row>
    <row r="324">
      <c r="A324" s="2" t="s">
        <v>367</v>
      </c>
      <c r="B324" s="2" t="s">
        <v>1205</v>
      </c>
      <c r="C324" s="8">
        <v>21769.49</v>
      </c>
      <c r="D324" s="8">
        <v>0.075</v>
      </c>
      <c r="E324" s="2">
        <f t="shared" si="1"/>
        <v>1632.71</v>
      </c>
      <c r="F324" s="2" t="s">
        <v>1206</v>
      </c>
      <c r="G324" s="2">
        <f t="shared" si="2"/>
        <v>1632.71</v>
      </c>
      <c r="H324" s="2" t="str">
        <f t="shared" si="3"/>
        <v>OK</v>
      </c>
      <c r="I324" s="2">
        <f t="array" ref="I324">IFERROR(XLOOKUP(XLOOKUP(A324, AP_Subledger!A:A, AP_Subledger!H:H), Tax_Rates_Reference!A:A, Tax_Rates_Reference!C:C), "")
</f>
        <v>0.075</v>
      </c>
      <c r="J324" s="2" t="b">
        <f t="shared" si="4"/>
        <v>1</v>
      </c>
    </row>
    <row r="325">
      <c r="A325" s="2" t="s">
        <v>368</v>
      </c>
      <c r="B325" s="2" t="s">
        <v>1205</v>
      </c>
      <c r="C325" s="8">
        <v>23643.05</v>
      </c>
      <c r="D325" s="8">
        <v>0.075</v>
      </c>
      <c r="E325" s="2">
        <f t="shared" si="1"/>
        <v>1773.23</v>
      </c>
      <c r="F325" s="2" t="s">
        <v>1206</v>
      </c>
      <c r="G325" s="2">
        <f t="shared" si="2"/>
        <v>1773.23</v>
      </c>
      <c r="H325" s="2" t="str">
        <f t="shared" si="3"/>
        <v>OK</v>
      </c>
      <c r="I325" s="2">
        <f t="array" ref="I325">IFERROR(XLOOKUP(XLOOKUP(A325, AP_Subledger!A:A, AP_Subledger!H:H), Tax_Rates_Reference!A:A, Tax_Rates_Reference!C:C), "")
</f>
        <v>0.075</v>
      </c>
      <c r="J325" s="2" t="b">
        <f t="shared" si="4"/>
        <v>1</v>
      </c>
    </row>
    <row r="326">
      <c r="A326" s="2" t="s">
        <v>369</v>
      </c>
      <c r="B326" s="2" t="s">
        <v>1205</v>
      </c>
      <c r="C326" s="8">
        <v>14479.94</v>
      </c>
      <c r="D326" s="8">
        <v>0.065</v>
      </c>
      <c r="E326" s="2">
        <f t="shared" si="1"/>
        <v>941.2</v>
      </c>
      <c r="F326" s="2" t="s">
        <v>1206</v>
      </c>
      <c r="G326" s="2">
        <f t="shared" si="2"/>
        <v>941.2</v>
      </c>
      <c r="H326" s="2" t="str">
        <f t="shared" si="3"/>
        <v>OK</v>
      </c>
      <c r="I326" s="2">
        <f t="array" ref="I326">IFERROR(XLOOKUP(XLOOKUP(A326, AP_Subledger!A:A, AP_Subledger!H:H), Tax_Rates_Reference!A:A, Tax_Rates_Reference!C:C), "")
</f>
        <v>0.065</v>
      </c>
      <c r="J326" s="2" t="b">
        <f t="shared" si="4"/>
        <v>1</v>
      </c>
    </row>
    <row r="327">
      <c r="A327" s="2" t="s">
        <v>370</v>
      </c>
      <c r="B327" s="2" t="s">
        <v>1205</v>
      </c>
      <c r="C327" s="8">
        <v>23551.45</v>
      </c>
      <c r="D327" s="8">
        <v>0.06</v>
      </c>
      <c r="E327" s="2">
        <f t="shared" si="1"/>
        <v>1413.09</v>
      </c>
      <c r="F327" s="2" t="s">
        <v>1206</v>
      </c>
      <c r="G327" s="2">
        <f t="shared" si="2"/>
        <v>1413.09</v>
      </c>
      <c r="H327" s="2" t="str">
        <f t="shared" si="3"/>
        <v>OK</v>
      </c>
      <c r="I327" s="2">
        <f t="array" ref="I327">IFERROR(XLOOKUP(XLOOKUP(A327, AP_Subledger!A:A, AP_Subledger!H:H), Tax_Rates_Reference!A:A, Tax_Rates_Reference!C:C), "")
</f>
        <v>0.06</v>
      </c>
      <c r="J327" s="2" t="b">
        <f t="shared" si="4"/>
        <v>1</v>
      </c>
    </row>
    <row r="328">
      <c r="A328" s="2" t="s">
        <v>371</v>
      </c>
      <c r="B328" s="2" t="s">
        <v>1205</v>
      </c>
      <c r="C328" s="8">
        <v>9040.05</v>
      </c>
      <c r="D328" s="8">
        <v>0.06</v>
      </c>
      <c r="E328" s="2">
        <f t="shared" si="1"/>
        <v>542.4</v>
      </c>
      <c r="F328" s="2" t="s">
        <v>1206</v>
      </c>
      <c r="G328" s="2">
        <f t="shared" si="2"/>
        <v>542.4</v>
      </c>
      <c r="H328" s="2" t="str">
        <f t="shared" si="3"/>
        <v>OK</v>
      </c>
      <c r="I328" s="2">
        <f t="array" ref="I328">IFERROR(XLOOKUP(XLOOKUP(A328, AP_Subledger!A:A, AP_Subledger!H:H), Tax_Rates_Reference!A:A, Tax_Rates_Reference!C:C), "")
</f>
        <v>0.06</v>
      </c>
      <c r="J328" s="2" t="b">
        <f t="shared" si="4"/>
        <v>1</v>
      </c>
    </row>
    <row r="329">
      <c r="A329" s="2" t="s">
        <v>372</v>
      </c>
      <c r="B329" s="2" t="s">
        <v>1205</v>
      </c>
      <c r="C329" s="8">
        <v>10469.25</v>
      </c>
      <c r="D329" s="8">
        <v>0.07</v>
      </c>
      <c r="E329" s="2">
        <f t="shared" si="1"/>
        <v>732.85</v>
      </c>
      <c r="F329" s="2" t="s">
        <v>1206</v>
      </c>
      <c r="G329" s="2">
        <f t="shared" si="2"/>
        <v>732.85</v>
      </c>
      <c r="H329" s="2" t="str">
        <f t="shared" si="3"/>
        <v>OK</v>
      </c>
      <c r="I329" s="2">
        <f t="array" ref="I329">IFERROR(XLOOKUP(XLOOKUP(A329, AP_Subledger!A:A, AP_Subledger!H:H), Tax_Rates_Reference!A:A, Tax_Rates_Reference!C:C), "")
</f>
        <v>0.07</v>
      </c>
      <c r="J329" s="2" t="b">
        <f t="shared" si="4"/>
        <v>1</v>
      </c>
    </row>
    <row r="330">
      <c r="A330" s="2" t="s">
        <v>373</v>
      </c>
      <c r="B330" s="2" t="s">
        <v>1205</v>
      </c>
      <c r="C330" s="8">
        <v>7572.8</v>
      </c>
      <c r="D330" s="8">
        <v>0.06</v>
      </c>
      <c r="E330" s="2">
        <f t="shared" si="1"/>
        <v>454.37</v>
      </c>
      <c r="F330" s="2" t="s">
        <v>1206</v>
      </c>
      <c r="G330" s="2">
        <f t="shared" si="2"/>
        <v>454.37</v>
      </c>
      <c r="H330" s="2" t="str">
        <f t="shared" si="3"/>
        <v>OK</v>
      </c>
      <c r="I330" s="2">
        <f t="array" ref="I330">IFERROR(XLOOKUP(XLOOKUP(A330, AP_Subledger!A:A, AP_Subledger!H:H), Tax_Rates_Reference!A:A, Tax_Rates_Reference!C:C), "")
</f>
        <v>0.06</v>
      </c>
      <c r="J330" s="2" t="b">
        <f t="shared" si="4"/>
        <v>1</v>
      </c>
    </row>
    <row r="331">
      <c r="A331" s="2" t="s">
        <v>374</v>
      </c>
      <c r="B331" s="2" t="s">
        <v>1205</v>
      </c>
      <c r="C331" s="8">
        <v>22583.7</v>
      </c>
      <c r="D331" s="8">
        <v>0.065</v>
      </c>
      <c r="E331" s="2">
        <f t="shared" si="1"/>
        <v>1467.94</v>
      </c>
      <c r="F331" s="2" t="s">
        <v>1206</v>
      </c>
      <c r="G331" s="2">
        <f t="shared" si="2"/>
        <v>1467.94</v>
      </c>
      <c r="H331" s="2" t="str">
        <f t="shared" si="3"/>
        <v>OK</v>
      </c>
      <c r="I331" s="2">
        <f t="array" ref="I331">IFERROR(XLOOKUP(XLOOKUP(A331, AP_Subledger!A:A, AP_Subledger!H:H), Tax_Rates_Reference!A:A, Tax_Rates_Reference!C:C), "")
</f>
        <v>0.065</v>
      </c>
      <c r="J331" s="2" t="b">
        <f t="shared" si="4"/>
        <v>1</v>
      </c>
    </row>
    <row r="332">
      <c r="A332" s="2" t="s">
        <v>375</v>
      </c>
      <c r="B332" s="2" t="s">
        <v>1205</v>
      </c>
      <c r="C332" s="8">
        <v>20536.94</v>
      </c>
      <c r="D332" s="8">
        <v>0.065</v>
      </c>
      <c r="E332" s="2">
        <f t="shared" si="1"/>
        <v>1334.9</v>
      </c>
      <c r="F332" s="2" t="s">
        <v>1206</v>
      </c>
      <c r="G332" s="2">
        <f t="shared" si="2"/>
        <v>1334.9</v>
      </c>
      <c r="H332" s="2" t="str">
        <f t="shared" si="3"/>
        <v>OK</v>
      </c>
      <c r="I332" s="2">
        <f t="array" ref="I332">IFERROR(XLOOKUP(XLOOKUP(A332, AP_Subledger!A:A, AP_Subledger!H:H), Tax_Rates_Reference!A:A, Tax_Rates_Reference!C:C), "")
</f>
        <v>0.065</v>
      </c>
      <c r="J332" s="2" t="b">
        <f t="shared" si="4"/>
        <v>1</v>
      </c>
    </row>
    <row r="333">
      <c r="A333" s="2" t="s">
        <v>376</v>
      </c>
      <c r="B333" s="2" t="s">
        <v>1205</v>
      </c>
      <c r="C333" s="8">
        <v>15940.11</v>
      </c>
      <c r="D333" s="8">
        <v>0.065</v>
      </c>
      <c r="E333" s="2">
        <f t="shared" si="1"/>
        <v>1036.11</v>
      </c>
      <c r="F333" s="2" t="s">
        <v>1206</v>
      </c>
      <c r="G333" s="2">
        <f t="shared" si="2"/>
        <v>1036.11</v>
      </c>
      <c r="H333" s="2" t="str">
        <f t="shared" si="3"/>
        <v>OK</v>
      </c>
      <c r="I333" s="2">
        <f t="array" ref="I333">IFERROR(XLOOKUP(XLOOKUP(A333, AP_Subledger!A:A, AP_Subledger!H:H), Tax_Rates_Reference!A:A, Tax_Rates_Reference!C:C), "")
</f>
        <v>0.065</v>
      </c>
      <c r="J333" s="2" t="b">
        <f t="shared" si="4"/>
        <v>1</v>
      </c>
    </row>
    <row r="334">
      <c r="A334" s="2" t="s">
        <v>377</v>
      </c>
      <c r="B334" s="2" t="s">
        <v>1205</v>
      </c>
      <c r="C334" s="8">
        <v>15113.89</v>
      </c>
      <c r="D334" s="8">
        <v>0.065</v>
      </c>
      <c r="E334" s="2">
        <f t="shared" si="1"/>
        <v>1133.54</v>
      </c>
      <c r="F334" s="2" t="s">
        <v>1206</v>
      </c>
      <c r="G334" s="2">
        <f t="shared" si="2"/>
        <v>982.4</v>
      </c>
      <c r="H334" s="2" t="str">
        <f t="shared" si="3"/>
        <v>Mismatch</v>
      </c>
      <c r="I334" s="2">
        <f t="array" ref="I334">IFERROR(XLOOKUP(XLOOKUP(A334, AP_Subledger!A:A, AP_Subledger!H:H), Tax_Rates_Reference!A:A, Tax_Rates_Reference!C:C), "")
</f>
        <v>0.065</v>
      </c>
      <c r="J334" s="2" t="b">
        <f t="shared" si="4"/>
        <v>1</v>
      </c>
    </row>
    <row r="335">
      <c r="A335" s="2" t="s">
        <v>378</v>
      </c>
      <c r="B335" s="2" t="s">
        <v>1205</v>
      </c>
      <c r="C335" s="8">
        <v>15284.49</v>
      </c>
      <c r="D335" s="8">
        <v>0.07</v>
      </c>
      <c r="E335" s="2">
        <f t="shared" si="1"/>
        <v>1069.91</v>
      </c>
      <c r="F335" s="2" t="s">
        <v>1206</v>
      </c>
      <c r="G335" s="2">
        <f t="shared" si="2"/>
        <v>1069.91</v>
      </c>
      <c r="H335" s="2" t="str">
        <f t="shared" si="3"/>
        <v>OK</v>
      </c>
      <c r="I335" s="2">
        <f t="array" ref="I335">IFERROR(XLOOKUP(XLOOKUP(A335, AP_Subledger!A:A, AP_Subledger!H:H), Tax_Rates_Reference!A:A, Tax_Rates_Reference!C:C), "")
</f>
        <v>0.07</v>
      </c>
      <c r="J335" s="2" t="b">
        <f t="shared" si="4"/>
        <v>1</v>
      </c>
    </row>
    <row r="336">
      <c r="A336" s="2" t="s">
        <v>379</v>
      </c>
      <c r="B336" s="2" t="s">
        <v>1205</v>
      </c>
      <c r="C336" s="8">
        <v>21651.67</v>
      </c>
      <c r="D336" s="8">
        <v>0.075</v>
      </c>
      <c r="E336" s="2">
        <f t="shared" si="1"/>
        <v>1623.88</v>
      </c>
      <c r="F336" s="2" t="s">
        <v>1206</v>
      </c>
      <c r="G336" s="2">
        <f t="shared" si="2"/>
        <v>1623.88</v>
      </c>
      <c r="H336" s="2" t="str">
        <f t="shared" si="3"/>
        <v>OK</v>
      </c>
      <c r="I336" s="2">
        <f t="array" ref="I336">IFERROR(XLOOKUP(XLOOKUP(A336, AP_Subledger!A:A, AP_Subledger!H:H), Tax_Rates_Reference!A:A, Tax_Rates_Reference!C:C), "")
</f>
        <v>0.075</v>
      </c>
      <c r="J336" s="2" t="b">
        <f t="shared" si="4"/>
        <v>1</v>
      </c>
    </row>
    <row r="337">
      <c r="A337" s="2" t="s">
        <v>380</v>
      </c>
      <c r="B337" s="2" t="s">
        <v>1205</v>
      </c>
      <c r="C337" s="8">
        <v>3168.5</v>
      </c>
      <c r="D337" s="8">
        <v>0.06</v>
      </c>
      <c r="E337" s="2">
        <f t="shared" si="1"/>
        <v>190.11</v>
      </c>
      <c r="F337" s="2" t="s">
        <v>1206</v>
      </c>
      <c r="G337" s="2">
        <f t="shared" si="2"/>
        <v>190.11</v>
      </c>
      <c r="H337" s="2" t="str">
        <f t="shared" si="3"/>
        <v>OK</v>
      </c>
      <c r="I337" s="2">
        <f t="array" ref="I337">IFERROR(XLOOKUP(XLOOKUP(A337, AP_Subledger!A:A, AP_Subledger!H:H), Tax_Rates_Reference!A:A, Tax_Rates_Reference!C:C), "")
</f>
        <v>0.06</v>
      </c>
      <c r="J337" s="2" t="b">
        <f t="shared" si="4"/>
        <v>1</v>
      </c>
    </row>
    <row r="338">
      <c r="A338" s="2" t="s">
        <v>381</v>
      </c>
      <c r="B338" s="2" t="s">
        <v>1205</v>
      </c>
      <c r="C338" s="8">
        <v>12179.04</v>
      </c>
      <c r="D338" s="8">
        <v>0.075</v>
      </c>
      <c r="E338" s="2">
        <f t="shared" si="1"/>
        <v>913.43</v>
      </c>
      <c r="F338" s="2" t="s">
        <v>1206</v>
      </c>
      <c r="G338" s="2">
        <f t="shared" si="2"/>
        <v>913.43</v>
      </c>
      <c r="H338" s="2" t="str">
        <f t="shared" si="3"/>
        <v>OK</v>
      </c>
      <c r="I338" s="2">
        <f t="array" ref="I338">IFERROR(XLOOKUP(XLOOKUP(A338, AP_Subledger!A:A, AP_Subledger!H:H), Tax_Rates_Reference!A:A, Tax_Rates_Reference!C:C), "")
</f>
        <v>0.075</v>
      </c>
      <c r="J338" s="2" t="b">
        <f t="shared" si="4"/>
        <v>1</v>
      </c>
    </row>
    <row r="339">
      <c r="A339" s="2" t="s">
        <v>382</v>
      </c>
      <c r="B339" s="2" t="s">
        <v>1205</v>
      </c>
      <c r="C339" s="8">
        <v>946.7</v>
      </c>
      <c r="D339" s="8">
        <v>0.085</v>
      </c>
      <c r="E339" s="2">
        <f t="shared" si="1"/>
        <v>80.47</v>
      </c>
      <c r="F339" s="2" t="s">
        <v>1206</v>
      </c>
      <c r="G339" s="2">
        <f t="shared" si="2"/>
        <v>80.47</v>
      </c>
      <c r="H339" s="2" t="str">
        <f t="shared" si="3"/>
        <v>OK</v>
      </c>
      <c r="I339" s="2">
        <f t="array" ref="I339">IFERROR(XLOOKUP(XLOOKUP(A339, AP_Subledger!A:A, AP_Subledger!H:H), Tax_Rates_Reference!A:A, Tax_Rates_Reference!C:C), "")
</f>
        <v>0.065</v>
      </c>
      <c r="J339" s="2" t="b">
        <f t="shared" si="4"/>
        <v>0</v>
      </c>
    </row>
    <row r="340">
      <c r="A340" s="2" t="s">
        <v>383</v>
      </c>
      <c r="B340" s="2" t="s">
        <v>1205</v>
      </c>
      <c r="C340" s="8">
        <v>6465.32</v>
      </c>
      <c r="D340" s="8">
        <v>0.045</v>
      </c>
      <c r="E340" s="2">
        <f t="shared" si="1"/>
        <v>290.94</v>
      </c>
      <c r="F340" s="2" t="s">
        <v>1206</v>
      </c>
      <c r="G340" s="2">
        <f t="shared" si="2"/>
        <v>290.94</v>
      </c>
      <c r="H340" s="2" t="str">
        <f t="shared" si="3"/>
        <v>OK</v>
      </c>
      <c r="I340" s="2">
        <f t="array" ref="I340">IFERROR(XLOOKUP(XLOOKUP(A340, AP_Subledger!A:A, AP_Subledger!H:H), Tax_Rates_Reference!A:A, Tax_Rates_Reference!C:C), "")
</f>
        <v>0.065</v>
      </c>
      <c r="J340" s="2" t="b">
        <f t="shared" si="4"/>
        <v>0</v>
      </c>
    </row>
    <row r="341">
      <c r="A341" s="2" t="s">
        <v>384</v>
      </c>
      <c r="B341" s="2" t="s">
        <v>1205</v>
      </c>
      <c r="C341" s="8">
        <v>12239.99</v>
      </c>
      <c r="D341" s="8">
        <v>0.06</v>
      </c>
      <c r="E341" s="2">
        <f t="shared" si="1"/>
        <v>734.4</v>
      </c>
      <c r="F341" s="2" t="s">
        <v>1206</v>
      </c>
      <c r="G341" s="2">
        <f t="shared" si="2"/>
        <v>734.4</v>
      </c>
      <c r="H341" s="2" t="str">
        <f t="shared" si="3"/>
        <v>OK</v>
      </c>
      <c r="I341" s="2">
        <f t="array" ref="I341">IFERROR(XLOOKUP(XLOOKUP(A341, AP_Subledger!A:A, AP_Subledger!H:H), Tax_Rates_Reference!A:A, Tax_Rates_Reference!C:C), "")
</f>
        <v>0.06</v>
      </c>
      <c r="J341" s="2" t="b">
        <f t="shared" si="4"/>
        <v>1</v>
      </c>
    </row>
    <row r="342">
      <c r="A342" s="2" t="s">
        <v>385</v>
      </c>
      <c r="B342" s="2" t="s">
        <v>1205</v>
      </c>
      <c r="C342" s="8">
        <v>13540.38</v>
      </c>
      <c r="D342" s="8">
        <v>0.065</v>
      </c>
      <c r="E342" s="2">
        <f t="shared" si="1"/>
        <v>880.12</v>
      </c>
      <c r="F342" s="2" t="s">
        <v>1206</v>
      </c>
      <c r="G342" s="2">
        <f t="shared" si="2"/>
        <v>880.12</v>
      </c>
      <c r="H342" s="2" t="str">
        <f t="shared" si="3"/>
        <v>OK</v>
      </c>
      <c r="I342" s="2">
        <f t="array" ref="I342">IFERROR(XLOOKUP(XLOOKUP(A342, AP_Subledger!A:A, AP_Subledger!H:H), Tax_Rates_Reference!A:A, Tax_Rates_Reference!C:C), "")
</f>
        <v>0.065</v>
      </c>
      <c r="J342" s="2" t="b">
        <f t="shared" si="4"/>
        <v>1</v>
      </c>
    </row>
    <row r="343">
      <c r="A343" s="2" t="s">
        <v>386</v>
      </c>
      <c r="B343" s="2" t="s">
        <v>1205</v>
      </c>
      <c r="C343" s="8">
        <v>7179.29</v>
      </c>
      <c r="D343" s="8">
        <v>0.07</v>
      </c>
      <c r="E343" s="2">
        <f t="shared" si="1"/>
        <v>502.55</v>
      </c>
      <c r="F343" s="2" t="s">
        <v>1206</v>
      </c>
      <c r="G343" s="2">
        <f t="shared" si="2"/>
        <v>502.55</v>
      </c>
      <c r="H343" s="2" t="str">
        <f t="shared" si="3"/>
        <v>OK</v>
      </c>
      <c r="I343" s="2">
        <f t="array" ref="I343">IFERROR(XLOOKUP(XLOOKUP(A343, AP_Subledger!A:A, AP_Subledger!H:H), Tax_Rates_Reference!A:A, Tax_Rates_Reference!C:C), "")
</f>
        <v>0.07</v>
      </c>
      <c r="J343" s="2" t="b">
        <f t="shared" si="4"/>
        <v>1</v>
      </c>
    </row>
    <row r="344">
      <c r="A344" s="2" t="s">
        <v>387</v>
      </c>
      <c r="B344" s="2" t="s">
        <v>1205</v>
      </c>
      <c r="C344" s="8">
        <v>20094.64</v>
      </c>
      <c r="D344" s="8">
        <v>0.04</v>
      </c>
      <c r="E344" s="2">
        <f t="shared" si="1"/>
        <v>803.79</v>
      </c>
      <c r="F344" s="2" t="s">
        <v>1206</v>
      </c>
      <c r="G344" s="2">
        <f t="shared" si="2"/>
        <v>803.79</v>
      </c>
      <c r="H344" s="2" t="str">
        <f t="shared" si="3"/>
        <v>OK</v>
      </c>
      <c r="I344" s="2">
        <f t="array" ref="I344">IFERROR(XLOOKUP(XLOOKUP(A344, AP_Subledger!A:A, AP_Subledger!H:H), Tax_Rates_Reference!A:A, Tax_Rates_Reference!C:C), "")
</f>
        <v>0.06</v>
      </c>
      <c r="J344" s="2" t="b">
        <f t="shared" si="4"/>
        <v>0</v>
      </c>
    </row>
    <row r="345">
      <c r="A345" s="2" t="s">
        <v>388</v>
      </c>
      <c r="B345" s="2" t="s">
        <v>1205</v>
      </c>
      <c r="C345" s="8">
        <v>5038.1</v>
      </c>
      <c r="D345" s="8">
        <v>0.06</v>
      </c>
      <c r="E345" s="2">
        <f t="shared" si="1"/>
        <v>302.29</v>
      </c>
      <c r="F345" s="2" t="s">
        <v>1206</v>
      </c>
      <c r="G345" s="2">
        <f t="shared" si="2"/>
        <v>302.29</v>
      </c>
      <c r="H345" s="2" t="str">
        <f t="shared" si="3"/>
        <v>OK</v>
      </c>
      <c r="I345" s="2">
        <f t="array" ref="I345">IFERROR(XLOOKUP(XLOOKUP(A345, AP_Subledger!A:A, AP_Subledger!H:H), Tax_Rates_Reference!A:A, Tax_Rates_Reference!C:C), "")
</f>
        <v>0.06</v>
      </c>
      <c r="J345" s="2" t="b">
        <f t="shared" si="4"/>
        <v>1</v>
      </c>
    </row>
    <row r="346">
      <c r="A346" s="2" t="s">
        <v>389</v>
      </c>
      <c r="B346" s="2" t="s">
        <v>1205</v>
      </c>
      <c r="C346" s="8">
        <v>20246.82</v>
      </c>
      <c r="D346" s="8">
        <v>0.075</v>
      </c>
      <c r="E346" s="2">
        <f t="shared" si="1"/>
        <v>1518.51</v>
      </c>
      <c r="F346" s="2" t="s">
        <v>1206</v>
      </c>
      <c r="G346" s="2">
        <f t="shared" si="2"/>
        <v>1518.51</v>
      </c>
      <c r="H346" s="2" t="str">
        <f t="shared" si="3"/>
        <v>OK</v>
      </c>
      <c r="I346" s="2">
        <f t="array" ref="I346">IFERROR(XLOOKUP(XLOOKUP(A346, AP_Subledger!A:A, AP_Subledger!H:H), Tax_Rates_Reference!A:A, Tax_Rates_Reference!C:C), "")
</f>
        <v>0.075</v>
      </c>
      <c r="J346" s="2" t="b">
        <f t="shared" si="4"/>
        <v>1</v>
      </c>
    </row>
    <row r="347">
      <c r="A347" s="2" t="s">
        <v>390</v>
      </c>
      <c r="B347" s="2" t="s">
        <v>1205</v>
      </c>
      <c r="C347" s="8">
        <v>563.31</v>
      </c>
      <c r="D347" s="8">
        <v>0.075</v>
      </c>
      <c r="E347" s="2">
        <f t="shared" si="1"/>
        <v>42.25</v>
      </c>
      <c r="F347" s="2" t="s">
        <v>1206</v>
      </c>
      <c r="G347" s="2">
        <f t="shared" si="2"/>
        <v>42.25</v>
      </c>
      <c r="H347" s="2" t="str">
        <f t="shared" si="3"/>
        <v>OK</v>
      </c>
      <c r="I347" s="2">
        <f t="array" ref="I347">IFERROR(XLOOKUP(XLOOKUP(A347, AP_Subledger!A:A, AP_Subledger!H:H), Tax_Rates_Reference!A:A, Tax_Rates_Reference!C:C), "")
</f>
        <v>0.075</v>
      </c>
      <c r="J347" s="2" t="b">
        <f t="shared" si="4"/>
        <v>1</v>
      </c>
    </row>
    <row r="348">
      <c r="A348" s="2" t="s">
        <v>391</v>
      </c>
      <c r="B348" s="2" t="s">
        <v>1205</v>
      </c>
      <c r="C348" s="8">
        <v>19946.72</v>
      </c>
      <c r="D348" s="8">
        <v>0.065</v>
      </c>
      <c r="E348" s="2">
        <f t="shared" si="1"/>
        <v>1296.54</v>
      </c>
      <c r="F348" s="2" t="s">
        <v>1206</v>
      </c>
      <c r="G348" s="2">
        <f t="shared" si="2"/>
        <v>1296.54</v>
      </c>
      <c r="H348" s="2" t="str">
        <f t="shared" si="3"/>
        <v>OK</v>
      </c>
      <c r="I348" s="2">
        <f t="array" ref="I348">IFERROR(XLOOKUP(XLOOKUP(A348, AP_Subledger!A:A, AP_Subledger!H:H), Tax_Rates_Reference!A:A, Tax_Rates_Reference!C:C), "")
</f>
        <v>0.065</v>
      </c>
      <c r="J348" s="2" t="b">
        <f t="shared" si="4"/>
        <v>1</v>
      </c>
    </row>
    <row r="349">
      <c r="A349" s="2" t="s">
        <v>392</v>
      </c>
      <c r="B349" s="2" t="s">
        <v>1205</v>
      </c>
      <c r="C349" s="8">
        <v>14137.61</v>
      </c>
      <c r="D349" s="8">
        <v>0.07</v>
      </c>
      <c r="E349" s="2">
        <f t="shared" si="1"/>
        <v>1131.01</v>
      </c>
      <c r="F349" s="2" t="s">
        <v>1206</v>
      </c>
      <c r="G349" s="2">
        <f t="shared" si="2"/>
        <v>989.63</v>
      </c>
      <c r="H349" s="2" t="str">
        <f t="shared" si="3"/>
        <v>Mismatch</v>
      </c>
      <c r="I349" s="2">
        <f t="array" ref="I349">IFERROR(XLOOKUP(XLOOKUP(A349, AP_Subledger!A:A, AP_Subledger!H:H), Tax_Rates_Reference!A:A, Tax_Rates_Reference!C:C), "")
</f>
        <v>0.07</v>
      </c>
      <c r="J349" s="2" t="b">
        <f t="shared" si="4"/>
        <v>1</v>
      </c>
    </row>
    <row r="350">
      <c r="A350" s="2" t="s">
        <v>393</v>
      </c>
      <c r="B350" s="2" t="s">
        <v>1205</v>
      </c>
      <c r="C350" s="8">
        <v>10881.59</v>
      </c>
      <c r="D350" s="8">
        <v>0.095</v>
      </c>
      <c r="E350" s="2">
        <f t="shared" si="1"/>
        <v>1033.75</v>
      </c>
      <c r="F350" s="2" t="s">
        <v>1206</v>
      </c>
      <c r="G350" s="2">
        <f t="shared" si="2"/>
        <v>1033.75</v>
      </c>
      <c r="H350" s="2" t="str">
        <f t="shared" si="3"/>
        <v>OK</v>
      </c>
      <c r="I350" s="2">
        <f t="array" ref="I350">IFERROR(XLOOKUP(XLOOKUP(A350, AP_Subledger!A:A, AP_Subledger!H:H), Tax_Rates_Reference!A:A, Tax_Rates_Reference!C:C), "")
</f>
        <v>0.075</v>
      </c>
      <c r="J350" s="2" t="b">
        <f t="shared" si="4"/>
        <v>0</v>
      </c>
    </row>
    <row r="351">
      <c r="A351" s="2" t="s">
        <v>394</v>
      </c>
      <c r="B351" s="2" t="s">
        <v>1205</v>
      </c>
      <c r="C351" s="8">
        <v>10886.65</v>
      </c>
      <c r="D351" s="8">
        <v>0.065</v>
      </c>
      <c r="E351" s="2">
        <f t="shared" si="1"/>
        <v>707.63</v>
      </c>
      <c r="F351" s="2" t="s">
        <v>1206</v>
      </c>
      <c r="G351" s="2">
        <f t="shared" si="2"/>
        <v>707.63</v>
      </c>
      <c r="H351" s="2" t="str">
        <f t="shared" si="3"/>
        <v>OK</v>
      </c>
      <c r="I351" s="2">
        <f t="array" ref="I351">IFERROR(XLOOKUP(XLOOKUP(A351, AP_Subledger!A:A, AP_Subledger!H:H), Tax_Rates_Reference!A:A, Tax_Rates_Reference!C:C), "")
</f>
        <v>0.065</v>
      </c>
      <c r="J351" s="2" t="b">
        <f t="shared" si="4"/>
        <v>1</v>
      </c>
    </row>
  </sheetData>
  <conditionalFormatting sqref="H1:H351">
    <cfRule type="cellIs" dxfId="0" priority="1" operator="equal">
      <formula>"Mismatch"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63"/>
  </cols>
  <sheetData>
    <row r="1">
      <c r="A1" s="2" t="s">
        <v>7</v>
      </c>
      <c r="B1" s="2" t="s">
        <v>1207</v>
      </c>
      <c r="C1" s="2" t="s">
        <v>1208</v>
      </c>
    </row>
    <row r="2">
      <c r="A2" s="2" t="s">
        <v>34</v>
      </c>
      <c r="B2" s="2">
        <v>0.015</v>
      </c>
      <c r="C2" s="2">
        <v>0.075</v>
      </c>
    </row>
    <row r="3">
      <c r="A3" s="2" t="s">
        <v>21</v>
      </c>
      <c r="B3" s="2">
        <v>0.01</v>
      </c>
      <c r="C3" s="2">
        <v>0.07</v>
      </c>
    </row>
    <row r="4">
      <c r="A4" s="2" t="s">
        <v>45</v>
      </c>
      <c r="B4" s="2">
        <v>0.005</v>
      </c>
      <c r="C4" s="2">
        <v>0.065</v>
      </c>
    </row>
    <row r="5">
      <c r="A5" s="2" t="s">
        <v>25</v>
      </c>
      <c r="B5" s="2">
        <v>0.0</v>
      </c>
      <c r="C5" s="2">
        <v>0.06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</cols>
  <sheetData>
    <row r="1">
      <c r="A1" s="2" t="s">
        <v>1209</v>
      </c>
      <c r="B1" s="2" t="s">
        <v>1210</v>
      </c>
    </row>
    <row r="2">
      <c r="A2" s="2" t="s">
        <v>1211</v>
      </c>
      <c r="B2" s="7">
        <f>SUM(AP_Subledger!J:J) * -1</f>
        <v>-5034825.82</v>
      </c>
    </row>
    <row r="3">
      <c r="A3" s="2" t="s">
        <v>1212</v>
      </c>
      <c r="B3" s="2">
        <v>350000.0</v>
      </c>
    </row>
    <row r="4">
      <c r="A4" s="2" t="s">
        <v>1206</v>
      </c>
      <c r="B4" s="2">
        <v>14850.0</v>
      </c>
    </row>
    <row r="5">
      <c r="A5" s="2" t="s">
        <v>1213</v>
      </c>
      <c r="B5" s="2">
        <v>420000.0</v>
      </c>
    </row>
    <row r="6">
      <c r="A6" s="2" t="s">
        <v>1214</v>
      </c>
      <c r="B6" s="2">
        <v>395000.0</v>
      </c>
    </row>
    <row r="7">
      <c r="A7" s="2" t="s">
        <v>1215</v>
      </c>
      <c r="B7" s="2">
        <v>225000.0</v>
      </c>
    </row>
    <row r="8">
      <c r="A8" s="2" t="s">
        <v>1216</v>
      </c>
      <c r="B8" s="2">
        <v>195000.0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38"/>
  </cols>
  <sheetData>
    <row r="4"/>
    <row r="5"/>
    <row r="6"/>
    <row r="7"/>
    <row r="8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1217</v>
      </c>
      <c r="B1" s="9" t="s">
        <v>1224</v>
      </c>
      <c r="C1" s="10" t="s">
        <v>1225</v>
      </c>
      <c r="D1" s="2" t="s">
        <v>1226</v>
      </c>
      <c r="E1" s="2" t="s">
        <v>1227</v>
      </c>
      <c r="F1" s="2" t="s">
        <v>1228</v>
      </c>
      <c r="G1" s="11" t="s">
        <v>1229</v>
      </c>
      <c r="H1" s="2" t="s">
        <v>1230</v>
      </c>
      <c r="I1" s="2" t="s">
        <v>1231</v>
      </c>
      <c r="J1" s="2" t="s">
        <v>1232</v>
      </c>
      <c r="K1" s="2" t="s">
        <v>1233</v>
      </c>
      <c r="L1" s="2" t="s">
        <v>1234</v>
      </c>
    </row>
    <row r="2">
      <c r="A2" s="2" t="s">
        <v>1220</v>
      </c>
      <c r="B2" s="9">
        <v>45658.0</v>
      </c>
      <c r="C2" s="10">
        <v>45658.0</v>
      </c>
      <c r="D2" s="6" t="s">
        <v>1235</v>
      </c>
      <c r="E2" s="6" t="s">
        <v>1236</v>
      </c>
      <c r="F2" s="6" t="s">
        <v>1237</v>
      </c>
      <c r="G2" s="7">
        <v>179699.41</v>
      </c>
      <c r="H2" s="2">
        <v>179699.41</v>
      </c>
      <c r="I2" s="6" t="s">
        <v>1238</v>
      </c>
      <c r="J2" s="6" t="s">
        <v>1239</v>
      </c>
      <c r="K2" s="6" t="s">
        <v>1240</v>
      </c>
      <c r="L2" s="7" t="str">
        <f t="shared" ref="L2:L121" si="1">IF(ROW()=2, "OK", IF(C2 = EDATE(C1, 1), "OK", "Sequence Error"))
</f>
        <v>OK</v>
      </c>
    </row>
    <row r="3">
      <c r="A3" s="2" t="s">
        <v>1220</v>
      </c>
      <c r="B3" s="9">
        <v>45658.0</v>
      </c>
      <c r="C3" s="10">
        <v>45689.0</v>
      </c>
      <c r="D3" s="6" t="s">
        <v>1235</v>
      </c>
      <c r="E3" s="6" t="s">
        <v>1241</v>
      </c>
      <c r="F3" s="6" t="s">
        <v>1242</v>
      </c>
      <c r="G3" s="7">
        <v>174565.14</v>
      </c>
      <c r="H3" s="2">
        <v>174565.14</v>
      </c>
      <c r="I3" s="6" t="s">
        <v>1238</v>
      </c>
      <c r="J3" s="6" t="s">
        <v>1239</v>
      </c>
      <c r="K3" s="6" t="s">
        <v>1240</v>
      </c>
      <c r="L3" s="7" t="str">
        <f t="shared" si="1"/>
        <v>OK</v>
      </c>
    </row>
    <row r="4">
      <c r="A4" s="2" t="s">
        <v>1220</v>
      </c>
      <c r="B4" s="9">
        <v>45658.0</v>
      </c>
      <c r="C4" s="10">
        <v>45717.0</v>
      </c>
      <c r="D4" s="6" t="s">
        <v>1235</v>
      </c>
      <c r="E4" s="6" t="s">
        <v>1243</v>
      </c>
      <c r="F4" s="6" t="s">
        <v>1244</v>
      </c>
      <c r="G4" s="7">
        <v>169430.87</v>
      </c>
      <c r="H4" s="2">
        <v>169430.87</v>
      </c>
      <c r="I4" s="6" t="s">
        <v>1235</v>
      </c>
      <c r="J4" s="6" t="s">
        <v>1245</v>
      </c>
      <c r="K4" s="6" t="s">
        <v>1240</v>
      </c>
      <c r="L4" s="7" t="str">
        <f t="shared" si="1"/>
        <v>OK</v>
      </c>
    </row>
    <row r="5">
      <c r="A5" s="2" t="s">
        <v>1220</v>
      </c>
      <c r="B5" s="9">
        <v>45658.0</v>
      </c>
      <c r="C5" s="10">
        <v>45778.0</v>
      </c>
      <c r="D5" s="6" t="s">
        <v>1235</v>
      </c>
      <c r="E5" s="6" t="s">
        <v>1246</v>
      </c>
      <c r="F5" s="6" t="s">
        <v>1247</v>
      </c>
      <c r="G5" s="7">
        <v>159162.33</v>
      </c>
      <c r="H5" s="2">
        <v>159162.33</v>
      </c>
      <c r="I5" s="6" t="s">
        <v>1235</v>
      </c>
      <c r="J5" s="6" t="s">
        <v>1245</v>
      </c>
      <c r="K5" s="6" t="s">
        <v>1240</v>
      </c>
      <c r="L5" s="7" t="str">
        <f t="shared" si="1"/>
        <v>Sequence Error</v>
      </c>
    </row>
    <row r="6">
      <c r="A6" s="2" t="s">
        <v>1220</v>
      </c>
      <c r="B6" s="9">
        <v>45658.0</v>
      </c>
      <c r="C6" s="10">
        <v>45809.0</v>
      </c>
      <c r="D6" s="6" t="s">
        <v>1235</v>
      </c>
      <c r="E6" s="6" t="s">
        <v>1248</v>
      </c>
      <c r="F6" s="6" t="s">
        <v>1249</v>
      </c>
      <c r="G6" s="7">
        <v>154028.06</v>
      </c>
      <c r="H6" s="2">
        <v>154028.06</v>
      </c>
      <c r="I6" s="6" t="s">
        <v>1238</v>
      </c>
      <c r="J6" s="6" t="s">
        <v>1239</v>
      </c>
      <c r="K6" s="6" t="s">
        <v>1240</v>
      </c>
      <c r="L6" s="7" t="str">
        <f t="shared" si="1"/>
        <v>OK</v>
      </c>
    </row>
    <row r="7">
      <c r="A7" s="2" t="s">
        <v>1220</v>
      </c>
      <c r="B7" s="9">
        <v>45658.0</v>
      </c>
      <c r="C7" s="10">
        <v>45839.0</v>
      </c>
      <c r="D7" s="6" t="s">
        <v>1235</v>
      </c>
      <c r="E7" s="6" t="s">
        <v>1250</v>
      </c>
      <c r="F7" s="6" t="s">
        <v>1251</v>
      </c>
      <c r="G7" s="7">
        <v>148893.79</v>
      </c>
      <c r="H7" s="2">
        <v>148893.79</v>
      </c>
      <c r="I7" s="6" t="s">
        <v>1235</v>
      </c>
      <c r="J7" s="6" t="s">
        <v>1245</v>
      </c>
      <c r="K7" s="6" t="s">
        <v>1240</v>
      </c>
      <c r="L7" s="7" t="str">
        <f t="shared" si="1"/>
        <v>OK</v>
      </c>
    </row>
    <row r="8">
      <c r="A8" s="2" t="s">
        <v>1220</v>
      </c>
      <c r="B8" s="9">
        <v>45658.0</v>
      </c>
      <c r="C8" s="10">
        <v>45870.0</v>
      </c>
      <c r="D8" s="6" t="s">
        <v>1235</v>
      </c>
      <c r="E8" s="6" t="s">
        <v>1252</v>
      </c>
      <c r="F8" s="6" t="s">
        <v>1253</v>
      </c>
      <c r="G8" s="7">
        <v>143759.52</v>
      </c>
      <c r="H8" s="2">
        <v>143759.52</v>
      </c>
      <c r="I8" s="6" t="s">
        <v>1238</v>
      </c>
      <c r="J8" s="6" t="s">
        <v>1239</v>
      </c>
      <c r="K8" s="6" t="s">
        <v>1240</v>
      </c>
      <c r="L8" s="7" t="str">
        <f t="shared" si="1"/>
        <v>OK</v>
      </c>
    </row>
    <row r="9">
      <c r="A9" s="2" t="s">
        <v>1220</v>
      </c>
      <c r="B9" s="9">
        <v>45658.0</v>
      </c>
      <c r="C9" s="10">
        <v>45901.0</v>
      </c>
      <c r="D9" s="6" t="s">
        <v>1235</v>
      </c>
      <c r="E9" s="6" t="s">
        <v>1254</v>
      </c>
      <c r="F9" s="6" t="s">
        <v>1255</v>
      </c>
      <c r="G9" s="7">
        <v>138625.25</v>
      </c>
      <c r="H9" s="2">
        <v>138625.25</v>
      </c>
      <c r="I9" s="6" t="s">
        <v>1238</v>
      </c>
      <c r="J9" s="6" t="s">
        <v>1239</v>
      </c>
      <c r="K9" s="6" t="s">
        <v>1240</v>
      </c>
      <c r="L9" s="7" t="str">
        <f t="shared" si="1"/>
        <v>OK</v>
      </c>
    </row>
    <row r="10">
      <c r="A10" s="2" t="s">
        <v>1220</v>
      </c>
      <c r="B10" s="9">
        <v>45658.0</v>
      </c>
      <c r="C10" s="10">
        <v>45931.0</v>
      </c>
      <c r="D10" s="6" t="s">
        <v>1235</v>
      </c>
      <c r="E10" s="6" t="s">
        <v>1256</v>
      </c>
      <c r="F10" s="6" t="s">
        <v>1257</v>
      </c>
      <c r="G10" s="7">
        <v>133490.98</v>
      </c>
      <c r="H10" s="2">
        <v>133490.98</v>
      </c>
      <c r="I10" s="6" t="s">
        <v>1235</v>
      </c>
      <c r="J10" s="6" t="s">
        <v>1245</v>
      </c>
      <c r="K10" s="6" t="s">
        <v>1240</v>
      </c>
      <c r="L10" s="7" t="str">
        <f t="shared" si="1"/>
        <v>OK</v>
      </c>
    </row>
    <row r="11">
      <c r="A11" s="2" t="s">
        <v>1220</v>
      </c>
      <c r="B11" s="9">
        <v>45658.0</v>
      </c>
      <c r="C11" s="10">
        <v>45962.0</v>
      </c>
      <c r="D11" s="6" t="s">
        <v>1235</v>
      </c>
      <c r="E11" s="6" t="s">
        <v>1258</v>
      </c>
      <c r="F11" s="6" t="s">
        <v>1259</v>
      </c>
      <c r="G11" s="7">
        <v>128356.71</v>
      </c>
      <c r="H11" s="2">
        <v>128356.71</v>
      </c>
      <c r="I11" s="6" t="s">
        <v>1235</v>
      </c>
      <c r="J11" s="6" t="s">
        <v>1245</v>
      </c>
      <c r="K11" s="6" t="s">
        <v>1240</v>
      </c>
      <c r="L11" s="7" t="str">
        <f t="shared" si="1"/>
        <v>OK</v>
      </c>
    </row>
    <row r="12">
      <c r="A12" s="2" t="s">
        <v>1220</v>
      </c>
      <c r="B12" s="9">
        <v>45658.0</v>
      </c>
      <c r="C12" s="10">
        <v>45992.0</v>
      </c>
      <c r="D12" s="6" t="s">
        <v>1235</v>
      </c>
      <c r="E12" s="6" t="s">
        <v>1260</v>
      </c>
      <c r="F12" s="6" t="s">
        <v>1261</v>
      </c>
      <c r="G12" s="7">
        <v>123222.44</v>
      </c>
      <c r="H12" s="2">
        <v>123222.44</v>
      </c>
      <c r="I12" s="6" t="s">
        <v>1238</v>
      </c>
      <c r="J12" s="6" t="s">
        <v>1239</v>
      </c>
      <c r="K12" s="6" t="s">
        <v>1240</v>
      </c>
      <c r="L12" s="7" t="str">
        <f t="shared" si="1"/>
        <v>OK</v>
      </c>
    </row>
    <row r="13">
      <c r="A13" s="2" t="s">
        <v>1220</v>
      </c>
      <c r="B13" s="9">
        <v>45658.0</v>
      </c>
      <c r="C13" s="10">
        <v>46023.0</v>
      </c>
      <c r="D13" s="6" t="s">
        <v>1235</v>
      </c>
      <c r="E13" s="6" t="s">
        <v>1262</v>
      </c>
      <c r="F13" s="6" t="s">
        <v>1263</v>
      </c>
      <c r="G13" s="7">
        <v>118088.17</v>
      </c>
      <c r="H13" s="2">
        <v>118088.17</v>
      </c>
      <c r="I13" s="6" t="s">
        <v>1235</v>
      </c>
      <c r="J13" s="6" t="s">
        <v>1245</v>
      </c>
      <c r="K13" s="6" t="s">
        <v>1240</v>
      </c>
      <c r="L13" s="7" t="str">
        <f t="shared" si="1"/>
        <v>OK</v>
      </c>
    </row>
    <row r="14">
      <c r="A14" s="2" t="s">
        <v>1220</v>
      </c>
      <c r="B14" s="9">
        <v>45658.0</v>
      </c>
      <c r="C14" s="10">
        <v>46054.0</v>
      </c>
      <c r="D14" s="6" t="s">
        <v>1235</v>
      </c>
      <c r="E14" s="6" t="s">
        <v>1264</v>
      </c>
      <c r="F14" s="6" t="s">
        <v>1265</v>
      </c>
      <c r="G14" s="7">
        <v>112953.9</v>
      </c>
      <c r="H14" s="2">
        <v>112953.9</v>
      </c>
      <c r="I14" s="6" t="s">
        <v>1238</v>
      </c>
      <c r="J14" s="6" t="s">
        <v>1239</v>
      </c>
      <c r="K14" s="6" t="s">
        <v>1240</v>
      </c>
      <c r="L14" s="7" t="str">
        <f t="shared" si="1"/>
        <v>OK</v>
      </c>
    </row>
    <row r="15">
      <c r="A15" s="2" t="s">
        <v>1220</v>
      </c>
      <c r="B15" s="9">
        <v>45658.0</v>
      </c>
      <c r="C15" s="10">
        <v>46082.0</v>
      </c>
      <c r="D15" s="6" t="s">
        <v>1235</v>
      </c>
      <c r="E15" s="6" t="s">
        <v>1266</v>
      </c>
      <c r="F15" s="6" t="s">
        <v>1267</v>
      </c>
      <c r="G15" s="7">
        <v>107819.63</v>
      </c>
      <c r="H15" s="2">
        <v>107819.63</v>
      </c>
      <c r="I15" s="6" t="s">
        <v>1235</v>
      </c>
      <c r="J15" s="6" t="s">
        <v>1245</v>
      </c>
      <c r="K15" s="6" t="s">
        <v>1240</v>
      </c>
      <c r="L15" s="7" t="str">
        <f t="shared" si="1"/>
        <v>OK</v>
      </c>
    </row>
    <row r="16">
      <c r="A16" s="2" t="s">
        <v>1220</v>
      </c>
      <c r="B16" s="9">
        <v>45658.0</v>
      </c>
      <c r="C16" s="10">
        <v>46113.0</v>
      </c>
      <c r="D16" s="6" t="s">
        <v>1235</v>
      </c>
      <c r="E16" s="6" t="s">
        <v>1268</v>
      </c>
      <c r="F16" s="6" t="s">
        <v>1269</v>
      </c>
      <c r="G16" s="7">
        <v>102685.36</v>
      </c>
      <c r="H16" s="2">
        <v>102685.36</v>
      </c>
      <c r="I16" s="6" t="s">
        <v>1238</v>
      </c>
      <c r="J16" s="6" t="s">
        <v>1239</v>
      </c>
      <c r="K16" s="6" t="s">
        <v>1240</v>
      </c>
      <c r="L16" s="7" t="str">
        <f t="shared" si="1"/>
        <v>OK</v>
      </c>
    </row>
    <row r="17">
      <c r="A17" s="2" t="s">
        <v>1220</v>
      </c>
      <c r="B17" s="9">
        <v>45658.0</v>
      </c>
      <c r="C17" s="10">
        <v>46143.0</v>
      </c>
      <c r="D17" s="6" t="s">
        <v>1235</v>
      </c>
      <c r="E17" s="6" t="s">
        <v>1270</v>
      </c>
      <c r="F17" s="6" t="s">
        <v>1271</v>
      </c>
      <c r="G17" s="7">
        <v>97551.09</v>
      </c>
      <c r="H17" s="2">
        <v>97551.09</v>
      </c>
      <c r="I17" s="6" t="s">
        <v>1238</v>
      </c>
      <c r="J17" s="6" t="s">
        <v>1239</v>
      </c>
      <c r="K17" s="6" t="s">
        <v>1240</v>
      </c>
      <c r="L17" s="7" t="str">
        <f t="shared" si="1"/>
        <v>OK</v>
      </c>
    </row>
    <row r="18">
      <c r="A18" s="2" t="s">
        <v>1220</v>
      </c>
      <c r="B18" s="9">
        <v>45658.0</v>
      </c>
      <c r="C18" s="10">
        <v>46174.0</v>
      </c>
      <c r="D18" s="6" t="s">
        <v>1235</v>
      </c>
      <c r="E18" s="6" t="s">
        <v>1272</v>
      </c>
      <c r="F18" s="6" t="s">
        <v>1273</v>
      </c>
      <c r="G18" s="7">
        <v>92416.82</v>
      </c>
      <c r="H18" s="2">
        <v>92416.82</v>
      </c>
      <c r="I18" s="6" t="s">
        <v>1235</v>
      </c>
      <c r="J18" s="6" t="s">
        <v>1245</v>
      </c>
      <c r="K18" s="6" t="s">
        <v>1240</v>
      </c>
      <c r="L18" s="7" t="str">
        <f t="shared" si="1"/>
        <v>OK</v>
      </c>
    </row>
    <row r="19">
      <c r="A19" s="2" t="s">
        <v>1220</v>
      </c>
      <c r="B19" s="9">
        <v>45658.0</v>
      </c>
      <c r="C19" s="10">
        <v>46204.0</v>
      </c>
      <c r="D19" s="6" t="s">
        <v>1235</v>
      </c>
      <c r="E19" s="6" t="s">
        <v>1274</v>
      </c>
      <c r="F19" s="6" t="s">
        <v>1275</v>
      </c>
      <c r="G19" s="7">
        <v>87282.55</v>
      </c>
      <c r="H19" s="2">
        <v>87282.55</v>
      </c>
      <c r="I19" s="6" t="s">
        <v>1238</v>
      </c>
      <c r="J19" s="6" t="s">
        <v>1239</v>
      </c>
      <c r="K19" s="6" t="s">
        <v>1240</v>
      </c>
      <c r="L19" s="7" t="str">
        <f t="shared" si="1"/>
        <v>OK</v>
      </c>
    </row>
    <row r="20">
      <c r="A20" s="2" t="s">
        <v>1220</v>
      </c>
      <c r="B20" s="9">
        <v>45658.0</v>
      </c>
      <c r="C20" s="10">
        <v>46235.0</v>
      </c>
      <c r="D20" s="6" t="s">
        <v>1235</v>
      </c>
      <c r="E20" s="6" t="s">
        <v>1276</v>
      </c>
      <c r="F20" s="6" t="s">
        <v>1277</v>
      </c>
      <c r="G20" s="7">
        <v>82148.28</v>
      </c>
      <c r="H20" s="2">
        <v>82148.28</v>
      </c>
      <c r="I20" s="6" t="s">
        <v>1238</v>
      </c>
      <c r="J20" s="6" t="s">
        <v>1239</v>
      </c>
      <c r="K20" s="6" t="s">
        <v>1240</v>
      </c>
      <c r="L20" s="7" t="str">
        <f t="shared" si="1"/>
        <v>OK</v>
      </c>
    </row>
    <row r="21">
      <c r="A21" s="2" t="s">
        <v>1220</v>
      </c>
      <c r="B21" s="9">
        <v>45658.0</v>
      </c>
      <c r="C21" s="10">
        <v>46266.0</v>
      </c>
      <c r="D21" s="6" t="s">
        <v>1235</v>
      </c>
      <c r="E21" s="6" t="s">
        <v>1278</v>
      </c>
      <c r="F21" s="6" t="s">
        <v>1279</v>
      </c>
      <c r="G21" s="7">
        <v>77014.01</v>
      </c>
      <c r="H21" s="2">
        <v>77014.01</v>
      </c>
      <c r="I21" s="6" t="s">
        <v>1235</v>
      </c>
      <c r="J21" s="6" t="s">
        <v>1245</v>
      </c>
      <c r="K21" s="6" t="s">
        <v>1240</v>
      </c>
      <c r="L21" s="7" t="str">
        <f t="shared" si="1"/>
        <v>OK</v>
      </c>
    </row>
    <row r="22">
      <c r="A22" s="2" t="s">
        <v>1220</v>
      </c>
      <c r="B22" s="9">
        <v>45658.0</v>
      </c>
      <c r="C22" s="10">
        <v>46296.0</v>
      </c>
      <c r="D22" s="6" t="s">
        <v>1235</v>
      </c>
      <c r="E22" s="6" t="s">
        <v>1280</v>
      </c>
      <c r="F22" s="6" t="s">
        <v>1281</v>
      </c>
      <c r="G22" s="7">
        <v>71879.74</v>
      </c>
      <c r="H22" s="2">
        <v>71879.74</v>
      </c>
      <c r="I22" s="6" t="s">
        <v>1235</v>
      </c>
      <c r="J22" s="6" t="s">
        <v>1245</v>
      </c>
      <c r="K22" s="6" t="s">
        <v>1240</v>
      </c>
      <c r="L22" s="7" t="str">
        <f t="shared" si="1"/>
        <v>OK</v>
      </c>
    </row>
    <row r="23">
      <c r="A23" s="2" t="s">
        <v>1220</v>
      </c>
      <c r="B23" s="9">
        <v>45658.0</v>
      </c>
      <c r="C23" s="10">
        <v>46327.0</v>
      </c>
      <c r="D23" s="6" t="s">
        <v>1235</v>
      </c>
      <c r="E23" s="6" t="s">
        <v>1282</v>
      </c>
      <c r="F23" s="6" t="s">
        <v>1283</v>
      </c>
      <c r="G23" s="7">
        <v>66745.47</v>
      </c>
      <c r="H23" s="2">
        <v>66745.47</v>
      </c>
      <c r="I23" s="6" t="s">
        <v>1235</v>
      </c>
      <c r="J23" s="6" t="s">
        <v>1245</v>
      </c>
      <c r="K23" s="6" t="s">
        <v>1240</v>
      </c>
      <c r="L23" s="7" t="str">
        <f t="shared" si="1"/>
        <v>OK</v>
      </c>
    </row>
    <row r="24">
      <c r="A24" s="2" t="s">
        <v>1220</v>
      </c>
      <c r="B24" s="9">
        <v>45658.0</v>
      </c>
      <c r="C24" s="10">
        <v>46357.0</v>
      </c>
      <c r="D24" s="6" t="s">
        <v>1235</v>
      </c>
      <c r="E24" s="6" t="s">
        <v>1284</v>
      </c>
      <c r="F24" s="6" t="s">
        <v>1285</v>
      </c>
      <c r="G24" s="7">
        <v>61611.2</v>
      </c>
      <c r="H24" s="2">
        <v>61611.2</v>
      </c>
      <c r="I24" s="6" t="s">
        <v>1235</v>
      </c>
      <c r="J24" s="6" t="s">
        <v>1245</v>
      </c>
      <c r="K24" s="6" t="s">
        <v>1240</v>
      </c>
      <c r="L24" s="7" t="str">
        <f t="shared" si="1"/>
        <v>OK</v>
      </c>
    </row>
    <row r="25">
      <c r="A25" s="2" t="s">
        <v>1220</v>
      </c>
      <c r="B25" s="9">
        <v>45658.0</v>
      </c>
      <c r="C25" s="10">
        <v>46388.0</v>
      </c>
      <c r="D25" s="6" t="s">
        <v>1235</v>
      </c>
      <c r="E25" s="6" t="s">
        <v>1286</v>
      </c>
      <c r="F25" s="6" t="s">
        <v>1287</v>
      </c>
      <c r="G25" s="7">
        <v>56476.93</v>
      </c>
      <c r="H25" s="2">
        <v>56476.93</v>
      </c>
      <c r="I25" s="6" t="s">
        <v>1235</v>
      </c>
      <c r="J25" s="6" t="s">
        <v>1245</v>
      </c>
      <c r="K25" s="6" t="s">
        <v>1240</v>
      </c>
      <c r="L25" s="7" t="str">
        <f t="shared" si="1"/>
        <v>OK</v>
      </c>
    </row>
    <row r="26">
      <c r="A26" s="2" t="s">
        <v>1220</v>
      </c>
      <c r="B26" s="9">
        <v>45658.0</v>
      </c>
      <c r="C26" s="10">
        <v>46419.0</v>
      </c>
      <c r="D26" s="6" t="s">
        <v>1235</v>
      </c>
      <c r="E26" s="6" t="s">
        <v>1288</v>
      </c>
      <c r="F26" s="6" t="s">
        <v>1289</v>
      </c>
      <c r="G26" s="7">
        <v>51342.66</v>
      </c>
      <c r="H26" s="2">
        <v>51342.66</v>
      </c>
      <c r="I26" s="6" t="s">
        <v>1238</v>
      </c>
      <c r="J26" s="6" t="s">
        <v>1239</v>
      </c>
      <c r="K26" s="6" t="s">
        <v>1240</v>
      </c>
      <c r="L26" s="7" t="str">
        <f t="shared" si="1"/>
        <v>OK</v>
      </c>
    </row>
    <row r="27">
      <c r="A27" s="2" t="s">
        <v>1220</v>
      </c>
      <c r="B27" s="9">
        <v>45658.0</v>
      </c>
      <c r="C27" s="10">
        <v>46447.0</v>
      </c>
      <c r="D27" s="6" t="s">
        <v>1235</v>
      </c>
      <c r="E27" s="6" t="s">
        <v>1290</v>
      </c>
      <c r="F27" s="6" t="s">
        <v>1291</v>
      </c>
      <c r="G27" s="7">
        <v>46208.39</v>
      </c>
      <c r="H27" s="2">
        <v>46208.39</v>
      </c>
      <c r="I27" s="6" t="s">
        <v>1238</v>
      </c>
      <c r="J27" s="6" t="s">
        <v>1239</v>
      </c>
      <c r="K27" s="6" t="s">
        <v>1240</v>
      </c>
      <c r="L27" s="7" t="str">
        <f t="shared" si="1"/>
        <v>OK</v>
      </c>
    </row>
    <row r="28">
      <c r="A28" s="2" t="s">
        <v>1220</v>
      </c>
      <c r="B28" s="9">
        <v>45658.0</v>
      </c>
      <c r="C28" s="10">
        <v>46478.0</v>
      </c>
      <c r="D28" s="6" t="s">
        <v>1235</v>
      </c>
      <c r="E28" s="6" t="s">
        <v>1292</v>
      </c>
      <c r="F28" s="6" t="s">
        <v>1293</v>
      </c>
      <c r="G28" s="7">
        <v>41074.12</v>
      </c>
      <c r="H28" s="2">
        <v>41074.12</v>
      </c>
      <c r="I28" s="6" t="s">
        <v>1235</v>
      </c>
      <c r="J28" s="6" t="s">
        <v>1245</v>
      </c>
      <c r="K28" s="6" t="s">
        <v>1240</v>
      </c>
      <c r="L28" s="7" t="str">
        <f t="shared" si="1"/>
        <v>OK</v>
      </c>
    </row>
    <row r="29">
      <c r="A29" s="2" t="s">
        <v>1220</v>
      </c>
      <c r="B29" s="9">
        <v>45658.0</v>
      </c>
      <c r="C29" s="10">
        <v>46508.0</v>
      </c>
      <c r="D29" s="6" t="s">
        <v>1235</v>
      </c>
      <c r="E29" s="6" t="s">
        <v>1294</v>
      </c>
      <c r="F29" s="6" t="s">
        <v>1295</v>
      </c>
      <c r="G29" s="7">
        <v>35939.85</v>
      </c>
      <c r="H29" s="2">
        <v>35939.85</v>
      </c>
      <c r="I29" s="6" t="s">
        <v>1238</v>
      </c>
      <c r="J29" s="6" t="s">
        <v>1239</v>
      </c>
      <c r="K29" s="6" t="s">
        <v>1240</v>
      </c>
      <c r="L29" s="7" t="str">
        <f t="shared" si="1"/>
        <v>OK</v>
      </c>
    </row>
    <row r="30">
      <c r="A30" s="2" t="s">
        <v>1220</v>
      </c>
      <c r="B30" s="9">
        <v>45658.0</v>
      </c>
      <c r="C30" s="10">
        <v>46539.0</v>
      </c>
      <c r="D30" s="6" t="s">
        <v>1235</v>
      </c>
      <c r="E30" s="6" t="s">
        <v>1296</v>
      </c>
      <c r="F30" s="6" t="s">
        <v>1297</v>
      </c>
      <c r="G30" s="7">
        <v>30805.58</v>
      </c>
      <c r="H30" s="2">
        <v>30805.58</v>
      </c>
      <c r="I30" s="6" t="s">
        <v>1235</v>
      </c>
      <c r="J30" s="6" t="s">
        <v>1245</v>
      </c>
      <c r="K30" s="6" t="s">
        <v>1240</v>
      </c>
      <c r="L30" s="7" t="str">
        <f t="shared" si="1"/>
        <v>OK</v>
      </c>
    </row>
    <row r="31">
      <c r="A31" s="2" t="s">
        <v>1220</v>
      </c>
      <c r="B31" s="9">
        <v>45658.0</v>
      </c>
      <c r="C31" s="10">
        <v>46569.0</v>
      </c>
      <c r="D31" s="6" t="s">
        <v>1235</v>
      </c>
      <c r="E31" s="6" t="s">
        <v>1298</v>
      </c>
      <c r="F31" s="6" t="s">
        <v>1299</v>
      </c>
      <c r="G31" s="7">
        <v>25671.31</v>
      </c>
      <c r="H31" s="2">
        <v>25671.31</v>
      </c>
      <c r="I31" s="6" t="s">
        <v>1235</v>
      </c>
      <c r="J31" s="6" t="s">
        <v>1245</v>
      </c>
      <c r="K31" s="6" t="s">
        <v>1240</v>
      </c>
      <c r="L31" s="7" t="str">
        <f t="shared" si="1"/>
        <v>OK</v>
      </c>
    </row>
    <row r="32">
      <c r="A32" s="2" t="s">
        <v>1220</v>
      </c>
      <c r="B32" s="9">
        <v>45658.0</v>
      </c>
      <c r="C32" s="10">
        <v>46600.0</v>
      </c>
      <c r="D32" s="6" t="s">
        <v>1235</v>
      </c>
      <c r="E32" s="6" t="s">
        <v>1300</v>
      </c>
      <c r="F32" s="6" t="s">
        <v>1301</v>
      </c>
      <c r="G32" s="7">
        <v>20537.04</v>
      </c>
      <c r="H32" s="2">
        <v>20537.04</v>
      </c>
      <c r="I32" s="6" t="s">
        <v>1235</v>
      </c>
      <c r="J32" s="6" t="s">
        <v>1245</v>
      </c>
      <c r="K32" s="6" t="s">
        <v>1240</v>
      </c>
      <c r="L32" s="7" t="str">
        <f t="shared" si="1"/>
        <v>OK</v>
      </c>
    </row>
    <row r="33">
      <c r="A33" s="2" t="s">
        <v>1220</v>
      </c>
      <c r="B33" s="9">
        <v>45658.0</v>
      </c>
      <c r="C33" s="10">
        <v>46631.0</v>
      </c>
      <c r="D33" s="6" t="s">
        <v>1235</v>
      </c>
      <c r="E33" s="6" t="s">
        <v>1302</v>
      </c>
      <c r="F33" s="6" t="s">
        <v>1303</v>
      </c>
      <c r="G33" s="7">
        <v>15402.77</v>
      </c>
      <c r="H33" s="2">
        <v>15402.77</v>
      </c>
      <c r="I33" s="6" t="s">
        <v>1235</v>
      </c>
      <c r="J33" s="6" t="s">
        <v>1245</v>
      </c>
      <c r="K33" s="6" t="s">
        <v>1240</v>
      </c>
      <c r="L33" s="7" t="str">
        <f t="shared" si="1"/>
        <v>OK</v>
      </c>
    </row>
    <row r="34">
      <c r="A34" s="2" t="s">
        <v>1220</v>
      </c>
      <c r="B34" s="9">
        <v>45658.0</v>
      </c>
      <c r="C34" s="10">
        <v>46661.0</v>
      </c>
      <c r="D34" s="6" t="s">
        <v>1235</v>
      </c>
      <c r="E34" s="6" t="s">
        <v>1304</v>
      </c>
      <c r="F34" s="6" t="s">
        <v>1305</v>
      </c>
      <c r="G34" s="7">
        <v>10268.5</v>
      </c>
      <c r="H34" s="2">
        <v>10268.5</v>
      </c>
      <c r="I34" s="6" t="s">
        <v>1238</v>
      </c>
      <c r="J34" s="6" t="s">
        <v>1239</v>
      </c>
      <c r="K34" s="6" t="s">
        <v>1240</v>
      </c>
      <c r="L34" s="7" t="str">
        <f t="shared" si="1"/>
        <v>OK</v>
      </c>
    </row>
    <row r="35">
      <c r="A35" s="2" t="s">
        <v>1220</v>
      </c>
      <c r="B35" s="9">
        <v>45658.0</v>
      </c>
      <c r="C35" s="10">
        <v>46692.0</v>
      </c>
      <c r="D35" s="6" t="s">
        <v>1235</v>
      </c>
      <c r="E35" s="6" t="s">
        <v>1306</v>
      </c>
      <c r="F35" s="6" t="s">
        <v>1307</v>
      </c>
      <c r="G35" s="7">
        <v>5134.23</v>
      </c>
      <c r="H35" s="2">
        <v>5134.23</v>
      </c>
      <c r="I35" s="6" t="s">
        <v>1238</v>
      </c>
      <c r="J35" s="6" t="s">
        <v>1239</v>
      </c>
      <c r="K35" s="6" t="s">
        <v>1240</v>
      </c>
      <c r="L35" s="7" t="str">
        <f t="shared" si="1"/>
        <v>OK</v>
      </c>
    </row>
    <row r="36">
      <c r="A36" s="2" t="s">
        <v>1220</v>
      </c>
      <c r="B36" s="9">
        <v>45658.0</v>
      </c>
      <c r="C36" s="10">
        <v>46722.0</v>
      </c>
      <c r="D36" s="6" t="s">
        <v>1235</v>
      </c>
      <c r="E36" s="6" t="s">
        <v>1308</v>
      </c>
      <c r="F36" s="6" t="s">
        <v>1309</v>
      </c>
      <c r="G36" s="7">
        <v>0.0</v>
      </c>
      <c r="H36" s="2">
        <v>0.0</v>
      </c>
      <c r="I36" s="6" t="s">
        <v>1310</v>
      </c>
      <c r="J36" s="6" t="s">
        <v>1311</v>
      </c>
      <c r="K36" s="6" t="s">
        <v>408</v>
      </c>
      <c r="L36" s="7" t="str">
        <f t="shared" si="1"/>
        <v>OK</v>
      </c>
    </row>
    <row r="37">
      <c r="A37" s="2" t="s">
        <v>1221</v>
      </c>
      <c r="B37" s="9">
        <v>45658.0</v>
      </c>
      <c r="C37" s="10">
        <v>45658.0</v>
      </c>
      <c r="D37" s="6" t="s">
        <v>1312</v>
      </c>
      <c r="E37" s="6" t="s">
        <v>1313</v>
      </c>
      <c r="F37" s="6" t="s">
        <v>1314</v>
      </c>
      <c r="G37" s="7">
        <v>53717.03</v>
      </c>
      <c r="H37" s="2">
        <v>53717.03</v>
      </c>
      <c r="I37" s="6" t="s">
        <v>1315</v>
      </c>
      <c r="J37" s="6" t="s">
        <v>1316</v>
      </c>
      <c r="K37" s="6" t="s">
        <v>1240</v>
      </c>
      <c r="L37" s="7" t="str">
        <f t="shared" si="1"/>
        <v>Sequence Error</v>
      </c>
    </row>
    <row r="38">
      <c r="A38" s="2" t="s">
        <v>1221</v>
      </c>
      <c r="B38" s="9">
        <v>45658.0</v>
      </c>
      <c r="C38" s="10">
        <v>45689.0</v>
      </c>
      <c r="D38" s="6" t="s">
        <v>1312</v>
      </c>
      <c r="E38" s="6" t="s">
        <v>1317</v>
      </c>
      <c r="F38" s="6" t="s">
        <v>1318</v>
      </c>
      <c r="G38" s="7">
        <v>51381.51</v>
      </c>
      <c r="H38" s="2">
        <v>51381.51</v>
      </c>
      <c r="I38" s="6" t="s">
        <v>1312</v>
      </c>
      <c r="J38" s="6" t="s">
        <v>1245</v>
      </c>
      <c r="K38" s="6" t="s">
        <v>1240</v>
      </c>
      <c r="L38" s="7" t="str">
        <f t="shared" si="1"/>
        <v>OK</v>
      </c>
    </row>
    <row r="39">
      <c r="A39" s="2" t="s">
        <v>1221</v>
      </c>
      <c r="B39" s="9">
        <v>45658.0</v>
      </c>
      <c r="C39" s="10">
        <v>45717.0</v>
      </c>
      <c r="D39" s="6" t="s">
        <v>1312</v>
      </c>
      <c r="E39" s="6" t="s">
        <v>1319</v>
      </c>
      <c r="F39" s="6" t="s">
        <v>1320</v>
      </c>
      <c r="G39" s="7">
        <v>49045.99</v>
      </c>
      <c r="H39" s="2">
        <v>49045.99</v>
      </c>
      <c r="I39" s="6" t="s">
        <v>1312</v>
      </c>
      <c r="J39" s="6" t="s">
        <v>1245</v>
      </c>
      <c r="K39" s="6" t="s">
        <v>1240</v>
      </c>
      <c r="L39" s="7" t="str">
        <f t="shared" si="1"/>
        <v>OK</v>
      </c>
    </row>
    <row r="40">
      <c r="A40" s="2" t="s">
        <v>1221</v>
      </c>
      <c r="B40" s="9">
        <v>45658.0</v>
      </c>
      <c r="C40" s="10">
        <v>45748.0</v>
      </c>
      <c r="D40" s="6" t="s">
        <v>1312</v>
      </c>
      <c r="E40" s="6" t="s">
        <v>1321</v>
      </c>
      <c r="F40" s="6" t="s">
        <v>1322</v>
      </c>
      <c r="G40" s="7">
        <v>46710.47</v>
      </c>
      <c r="H40" s="2">
        <v>46710.47</v>
      </c>
      <c r="I40" s="6" t="s">
        <v>1312</v>
      </c>
      <c r="J40" s="6" t="s">
        <v>1245</v>
      </c>
      <c r="K40" s="6" t="s">
        <v>1240</v>
      </c>
      <c r="L40" s="7" t="str">
        <f t="shared" si="1"/>
        <v>OK</v>
      </c>
    </row>
    <row r="41">
      <c r="A41" s="2" t="s">
        <v>1221</v>
      </c>
      <c r="B41" s="9">
        <v>45658.0</v>
      </c>
      <c r="C41" s="10">
        <v>45778.0</v>
      </c>
      <c r="D41" s="6" t="s">
        <v>1312</v>
      </c>
      <c r="E41" s="6" t="s">
        <v>1323</v>
      </c>
      <c r="F41" s="6" t="s">
        <v>1324</v>
      </c>
      <c r="G41" s="7">
        <v>44374.95</v>
      </c>
      <c r="H41" s="2">
        <v>44374.95</v>
      </c>
      <c r="I41" s="6" t="s">
        <v>1312</v>
      </c>
      <c r="J41" s="6" t="s">
        <v>1245</v>
      </c>
      <c r="K41" s="6" t="s">
        <v>1240</v>
      </c>
      <c r="L41" s="7" t="str">
        <f t="shared" si="1"/>
        <v>OK</v>
      </c>
    </row>
    <row r="42">
      <c r="A42" s="2" t="s">
        <v>1221</v>
      </c>
      <c r="B42" s="9">
        <v>45658.0</v>
      </c>
      <c r="C42" s="10">
        <v>45808.0</v>
      </c>
      <c r="D42" s="6" t="s">
        <v>1312</v>
      </c>
      <c r="E42" s="6" t="s">
        <v>1323</v>
      </c>
      <c r="F42" s="6" t="s">
        <v>1324</v>
      </c>
      <c r="G42" s="7">
        <v>44374.95</v>
      </c>
      <c r="H42" s="2">
        <v>44374.95</v>
      </c>
      <c r="I42" s="6" t="s">
        <v>1312</v>
      </c>
      <c r="J42" s="6" t="s">
        <v>1245</v>
      </c>
      <c r="K42" s="6" t="s">
        <v>1240</v>
      </c>
      <c r="L42" s="7" t="str">
        <f t="shared" si="1"/>
        <v>Sequence Error</v>
      </c>
    </row>
    <row r="43">
      <c r="A43" s="2" t="s">
        <v>1221</v>
      </c>
      <c r="B43" s="9">
        <v>45658.0</v>
      </c>
      <c r="C43" s="10">
        <v>45809.0</v>
      </c>
      <c r="D43" s="6" t="s">
        <v>1312</v>
      </c>
      <c r="E43" s="6" t="s">
        <v>1325</v>
      </c>
      <c r="F43" s="6" t="s">
        <v>1326</v>
      </c>
      <c r="G43" s="7">
        <v>42039.43</v>
      </c>
      <c r="H43" s="2">
        <v>42039.43</v>
      </c>
      <c r="I43" s="6" t="s">
        <v>1312</v>
      </c>
      <c r="J43" s="6" t="s">
        <v>1245</v>
      </c>
      <c r="K43" s="6" t="s">
        <v>1240</v>
      </c>
      <c r="L43" s="7" t="str">
        <f t="shared" si="1"/>
        <v>Sequence Error</v>
      </c>
    </row>
    <row r="44">
      <c r="A44" s="2" t="s">
        <v>1221</v>
      </c>
      <c r="B44" s="9">
        <v>45658.0</v>
      </c>
      <c r="C44" s="10">
        <v>45839.0</v>
      </c>
      <c r="D44" s="6" t="s">
        <v>1312</v>
      </c>
      <c r="E44" s="6" t="s">
        <v>1327</v>
      </c>
      <c r="F44" s="6" t="s">
        <v>1328</v>
      </c>
      <c r="G44" s="7">
        <v>39703.91</v>
      </c>
      <c r="H44" s="2">
        <v>39703.91</v>
      </c>
      <c r="I44" s="6" t="s">
        <v>1312</v>
      </c>
      <c r="J44" s="6" t="s">
        <v>1245</v>
      </c>
      <c r="K44" s="6" t="s">
        <v>1240</v>
      </c>
      <c r="L44" s="7" t="str">
        <f t="shared" si="1"/>
        <v>OK</v>
      </c>
    </row>
    <row r="45">
      <c r="A45" s="2" t="s">
        <v>1221</v>
      </c>
      <c r="B45" s="9">
        <v>45658.0</v>
      </c>
      <c r="C45" s="10">
        <v>45870.0</v>
      </c>
      <c r="D45" s="6" t="s">
        <v>1312</v>
      </c>
      <c r="E45" s="6" t="s">
        <v>1329</v>
      </c>
      <c r="F45" s="6" t="s">
        <v>1330</v>
      </c>
      <c r="G45" s="7">
        <v>37368.39</v>
      </c>
      <c r="H45" s="2">
        <v>37368.39</v>
      </c>
      <c r="I45" s="6" t="s">
        <v>1315</v>
      </c>
      <c r="J45" s="6" t="s">
        <v>1316</v>
      </c>
      <c r="K45" s="6" t="s">
        <v>1240</v>
      </c>
      <c r="L45" s="7" t="str">
        <f t="shared" si="1"/>
        <v>OK</v>
      </c>
    </row>
    <row r="46">
      <c r="A46" s="2" t="s">
        <v>1221</v>
      </c>
      <c r="B46" s="9">
        <v>45658.0</v>
      </c>
      <c r="C46" s="10">
        <v>45901.0</v>
      </c>
      <c r="D46" s="6" t="s">
        <v>1312</v>
      </c>
      <c r="E46" s="6" t="s">
        <v>1331</v>
      </c>
      <c r="F46" s="6" t="s">
        <v>1332</v>
      </c>
      <c r="G46" s="7">
        <v>35032.87</v>
      </c>
      <c r="H46" s="2">
        <v>35032.87</v>
      </c>
      <c r="I46" s="6" t="s">
        <v>1312</v>
      </c>
      <c r="J46" s="6" t="s">
        <v>1245</v>
      </c>
      <c r="K46" s="6" t="s">
        <v>1240</v>
      </c>
      <c r="L46" s="7" t="str">
        <f t="shared" si="1"/>
        <v>OK</v>
      </c>
    </row>
    <row r="47">
      <c r="A47" s="2" t="s">
        <v>1221</v>
      </c>
      <c r="B47" s="9">
        <v>45658.0</v>
      </c>
      <c r="C47" s="10">
        <v>45931.0</v>
      </c>
      <c r="D47" s="6" t="s">
        <v>1312</v>
      </c>
      <c r="E47" s="6" t="s">
        <v>1333</v>
      </c>
      <c r="F47" s="6" t="s">
        <v>1334</v>
      </c>
      <c r="G47" s="7">
        <v>32697.35</v>
      </c>
      <c r="H47" s="2">
        <v>32697.35</v>
      </c>
      <c r="I47" s="6" t="s">
        <v>1312</v>
      </c>
      <c r="J47" s="6" t="s">
        <v>1245</v>
      </c>
      <c r="K47" s="6" t="s">
        <v>1240</v>
      </c>
      <c r="L47" s="7" t="str">
        <f t="shared" si="1"/>
        <v>OK</v>
      </c>
    </row>
    <row r="48">
      <c r="A48" s="2" t="s">
        <v>1221</v>
      </c>
      <c r="B48" s="9">
        <v>45658.0</v>
      </c>
      <c r="C48" s="10">
        <v>45962.0</v>
      </c>
      <c r="D48" s="6" t="s">
        <v>1312</v>
      </c>
      <c r="E48" s="6" t="s">
        <v>1335</v>
      </c>
      <c r="F48" s="6" t="s">
        <v>1336</v>
      </c>
      <c r="G48" s="7">
        <v>30361.83</v>
      </c>
      <c r="H48" s="2">
        <v>30361.83</v>
      </c>
      <c r="I48" s="6" t="s">
        <v>1312</v>
      </c>
      <c r="J48" s="6" t="s">
        <v>1245</v>
      </c>
      <c r="K48" s="6" t="s">
        <v>1240</v>
      </c>
      <c r="L48" s="7" t="str">
        <f t="shared" si="1"/>
        <v>OK</v>
      </c>
    </row>
    <row r="49">
      <c r="A49" s="2" t="s">
        <v>1221</v>
      </c>
      <c r="B49" s="9">
        <v>45658.0</v>
      </c>
      <c r="C49" s="10">
        <v>45992.0</v>
      </c>
      <c r="D49" s="6" t="s">
        <v>1312</v>
      </c>
      <c r="E49" s="6" t="s">
        <v>1337</v>
      </c>
      <c r="F49" s="6" t="s">
        <v>1338</v>
      </c>
      <c r="G49" s="7">
        <v>28026.31</v>
      </c>
      <c r="H49" s="2">
        <v>28026.31</v>
      </c>
      <c r="I49" s="6" t="s">
        <v>1312</v>
      </c>
      <c r="J49" s="6" t="s">
        <v>1245</v>
      </c>
      <c r="K49" s="6" t="s">
        <v>1240</v>
      </c>
      <c r="L49" s="7" t="str">
        <f t="shared" si="1"/>
        <v>OK</v>
      </c>
    </row>
    <row r="50">
      <c r="A50" s="2" t="s">
        <v>1221</v>
      </c>
      <c r="B50" s="9">
        <v>45658.0</v>
      </c>
      <c r="C50" s="10">
        <v>46023.0</v>
      </c>
      <c r="D50" s="6" t="s">
        <v>1312</v>
      </c>
      <c r="E50" s="6" t="s">
        <v>1339</v>
      </c>
      <c r="F50" s="6" t="s">
        <v>1340</v>
      </c>
      <c r="G50" s="7">
        <v>25690.79</v>
      </c>
      <c r="H50" s="2">
        <v>25690.79</v>
      </c>
      <c r="I50" s="6" t="s">
        <v>1312</v>
      </c>
      <c r="J50" s="6" t="s">
        <v>1245</v>
      </c>
      <c r="K50" s="6" t="s">
        <v>1240</v>
      </c>
      <c r="L50" s="7" t="str">
        <f t="shared" si="1"/>
        <v>OK</v>
      </c>
    </row>
    <row r="51">
      <c r="A51" s="2" t="s">
        <v>1221</v>
      </c>
      <c r="B51" s="9">
        <v>45658.0</v>
      </c>
      <c r="C51" s="10">
        <v>46054.0</v>
      </c>
      <c r="D51" s="6" t="s">
        <v>1312</v>
      </c>
      <c r="E51" s="6" t="s">
        <v>1341</v>
      </c>
      <c r="F51" s="6" t="s">
        <v>1342</v>
      </c>
      <c r="G51" s="7">
        <v>23355.27</v>
      </c>
      <c r="H51" s="2">
        <v>23355.27</v>
      </c>
      <c r="I51" s="6" t="s">
        <v>1312</v>
      </c>
      <c r="J51" s="6" t="s">
        <v>1245</v>
      </c>
      <c r="K51" s="6" t="s">
        <v>1240</v>
      </c>
      <c r="L51" s="7" t="str">
        <f t="shared" si="1"/>
        <v>OK</v>
      </c>
    </row>
    <row r="52">
      <c r="A52" s="2" t="s">
        <v>1221</v>
      </c>
      <c r="B52" s="9">
        <v>45658.0</v>
      </c>
      <c r="C52" s="10">
        <v>46082.0</v>
      </c>
      <c r="D52" s="6" t="s">
        <v>1312</v>
      </c>
      <c r="E52" s="6" t="s">
        <v>1343</v>
      </c>
      <c r="F52" s="6" t="s">
        <v>1344</v>
      </c>
      <c r="G52" s="7">
        <v>21019.75</v>
      </c>
      <c r="H52" s="2">
        <v>21019.75</v>
      </c>
      <c r="I52" s="6" t="s">
        <v>1312</v>
      </c>
      <c r="J52" s="6" t="s">
        <v>1245</v>
      </c>
      <c r="K52" s="6" t="s">
        <v>1240</v>
      </c>
      <c r="L52" s="7" t="str">
        <f t="shared" si="1"/>
        <v>OK</v>
      </c>
    </row>
    <row r="53">
      <c r="A53" s="2" t="s">
        <v>1221</v>
      </c>
      <c r="B53" s="9">
        <v>45658.0</v>
      </c>
      <c r="C53" s="10">
        <v>46113.0</v>
      </c>
      <c r="D53" s="6" t="s">
        <v>1312</v>
      </c>
      <c r="E53" s="6" t="s">
        <v>1345</v>
      </c>
      <c r="F53" s="6" t="s">
        <v>1346</v>
      </c>
      <c r="G53" s="7">
        <v>18684.23</v>
      </c>
      <c r="H53" s="2">
        <v>18684.23</v>
      </c>
      <c r="I53" s="6" t="s">
        <v>1312</v>
      </c>
      <c r="J53" s="6" t="s">
        <v>1245</v>
      </c>
      <c r="K53" s="6" t="s">
        <v>1240</v>
      </c>
      <c r="L53" s="7" t="str">
        <f t="shared" si="1"/>
        <v>OK</v>
      </c>
    </row>
    <row r="54">
      <c r="A54" s="2" t="s">
        <v>1221</v>
      </c>
      <c r="B54" s="9">
        <v>45658.0</v>
      </c>
      <c r="C54" s="10">
        <v>46143.0</v>
      </c>
      <c r="D54" s="6" t="s">
        <v>1312</v>
      </c>
      <c r="E54" s="6" t="s">
        <v>1347</v>
      </c>
      <c r="F54" s="6" t="s">
        <v>1348</v>
      </c>
      <c r="G54" s="7">
        <v>16348.71</v>
      </c>
      <c r="H54" s="2">
        <v>16348.71</v>
      </c>
      <c r="I54" s="6" t="s">
        <v>1312</v>
      </c>
      <c r="J54" s="6" t="s">
        <v>1245</v>
      </c>
      <c r="K54" s="6" t="s">
        <v>1240</v>
      </c>
      <c r="L54" s="7" t="str">
        <f t="shared" si="1"/>
        <v>OK</v>
      </c>
    </row>
    <row r="55">
      <c r="A55" s="2" t="s">
        <v>1221</v>
      </c>
      <c r="B55" s="9">
        <v>45658.0</v>
      </c>
      <c r="C55" s="10">
        <v>46174.0</v>
      </c>
      <c r="D55" s="6" t="s">
        <v>1312</v>
      </c>
      <c r="E55" s="6" t="s">
        <v>1349</v>
      </c>
      <c r="F55" s="6" t="s">
        <v>1350</v>
      </c>
      <c r="G55" s="7">
        <v>14013.19</v>
      </c>
      <c r="H55" s="2">
        <v>14013.19</v>
      </c>
      <c r="I55" s="6" t="s">
        <v>1312</v>
      </c>
      <c r="J55" s="6" t="s">
        <v>1245</v>
      </c>
      <c r="K55" s="6" t="s">
        <v>1240</v>
      </c>
      <c r="L55" s="7" t="str">
        <f t="shared" si="1"/>
        <v>OK</v>
      </c>
    </row>
    <row r="56">
      <c r="A56" s="2" t="s">
        <v>1221</v>
      </c>
      <c r="B56" s="9">
        <v>45658.0</v>
      </c>
      <c r="C56" s="10">
        <v>46204.0</v>
      </c>
      <c r="D56" s="6" t="s">
        <v>1312</v>
      </c>
      <c r="E56" s="6" t="s">
        <v>1351</v>
      </c>
      <c r="F56" s="6" t="s">
        <v>1352</v>
      </c>
      <c r="G56" s="7">
        <v>11677.67</v>
      </c>
      <c r="H56" s="2">
        <v>11677.67</v>
      </c>
      <c r="I56" s="6" t="s">
        <v>1312</v>
      </c>
      <c r="J56" s="6" t="s">
        <v>1245</v>
      </c>
      <c r="K56" s="6" t="s">
        <v>1240</v>
      </c>
      <c r="L56" s="7" t="str">
        <f t="shared" si="1"/>
        <v>OK</v>
      </c>
    </row>
    <row r="57">
      <c r="A57" s="2" t="s">
        <v>1221</v>
      </c>
      <c r="B57" s="9">
        <v>45658.0</v>
      </c>
      <c r="C57" s="10">
        <v>46235.0</v>
      </c>
      <c r="D57" s="6" t="s">
        <v>1312</v>
      </c>
      <c r="E57" s="6" t="s">
        <v>1353</v>
      </c>
      <c r="F57" s="6" t="s">
        <v>1354</v>
      </c>
      <c r="G57" s="7">
        <v>9342.15</v>
      </c>
      <c r="H57" s="2">
        <v>9342.15</v>
      </c>
      <c r="I57" s="6" t="s">
        <v>1312</v>
      </c>
      <c r="J57" s="6" t="s">
        <v>1245</v>
      </c>
      <c r="K57" s="6" t="s">
        <v>1240</v>
      </c>
      <c r="L57" s="7" t="str">
        <f t="shared" si="1"/>
        <v>OK</v>
      </c>
    </row>
    <row r="58">
      <c r="A58" s="2" t="s">
        <v>1221</v>
      </c>
      <c r="B58" s="9">
        <v>45658.0</v>
      </c>
      <c r="C58" s="10">
        <v>46266.0</v>
      </c>
      <c r="D58" s="6" t="s">
        <v>1312</v>
      </c>
      <c r="E58" s="6" t="s">
        <v>1355</v>
      </c>
      <c r="F58" s="6" t="s">
        <v>1356</v>
      </c>
      <c r="G58" s="7">
        <v>7006.63</v>
      </c>
      <c r="H58" s="2">
        <v>7006.63</v>
      </c>
      <c r="I58" s="6" t="s">
        <v>1312</v>
      </c>
      <c r="J58" s="6" t="s">
        <v>1245</v>
      </c>
      <c r="K58" s="6" t="s">
        <v>1240</v>
      </c>
      <c r="L58" s="7" t="str">
        <f t="shared" si="1"/>
        <v>OK</v>
      </c>
    </row>
    <row r="59">
      <c r="A59" s="2" t="s">
        <v>1221</v>
      </c>
      <c r="B59" s="9">
        <v>45658.0</v>
      </c>
      <c r="C59" s="10">
        <v>46296.0</v>
      </c>
      <c r="D59" s="6" t="s">
        <v>1312</v>
      </c>
      <c r="E59" s="6" t="s">
        <v>1357</v>
      </c>
      <c r="F59" s="6" t="s">
        <v>1358</v>
      </c>
      <c r="G59" s="7">
        <v>4671.11</v>
      </c>
      <c r="H59" s="2">
        <v>4671.11</v>
      </c>
      <c r="I59" s="6" t="s">
        <v>1312</v>
      </c>
      <c r="J59" s="6" t="s">
        <v>1245</v>
      </c>
      <c r="K59" s="6" t="s">
        <v>1240</v>
      </c>
      <c r="L59" s="7" t="str">
        <f t="shared" si="1"/>
        <v>OK</v>
      </c>
    </row>
    <row r="60">
      <c r="A60" s="2" t="s">
        <v>1221</v>
      </c>
      <c r="B60" s="9">
        <v>45658.0</v>
      </c>
      <c r="C60" s="10">
        <v>46327.0</v>
      </c>
      <c r="D60" s="6" t="s">
        <v>1312</v>
      </c>
      <c r="E60" s="6" t="s">
        <v>1359</v>
      </c>
      <c r="F60" s="6" t="s">
        <v>1360</v>
      </c>
      <c r="G60" s="7">
        <v>2335.59</v>
      </c>
      <c r="H60" s="2">
        <v>2335.59</v>
      </c>
      <c r="I60" s="6" t="s">
        <v>1312</v>
      </c>
      <c r="J60" s="6" t="s">
        <v>1245</v>
      </c>
      <c r="K60" s="6" t="s">
        <v>1240</v>
      </c>
      <c r="L60" s="7" t="str">
        <f t="shared" si="1"/>
        <v>OK</v>
      </c>
    </row>
    <row r="61">
      <c r="A61" s="2" t="s">
        <v>1221</v>
      </c>
      <c r="B61" s="9">
        <v>45658.0</v>
      </c>
      <c r="C61" s="10">
        <v>46357.0</v>
      </c>
      <c r="D61" s="6" t="s">
        <v>1312</v>
      </c>
      <c r="E61" s="6" t="s">
        <v>1361</v>
      </c>
      <c r="F61" s="6" t="s">
        <v>1362</v>
      </c>
      <c r="G61" s="7">
        <v>0.07</v>
      </c>
      <c r="H61" s="2">
        <v>0.07</v>
      </c>
      <c r="I61" s="6" t="s">
        <v>1312</v>
      </c>
      <c r="J61" s="6" t="s">
        <v>1245</v>
      </c>
      <c r="K61" s="6" t="s">
        <v>1240</v>
      </c>
      <c r="L61" s="7" t="str">
        <f t="shared" si="1"/>
        <v>OK</v>
      </c>
    </row>
    <row r="62">
      <c r="A62" s="2" t="s">
        <v>1222</v>
      </c>
      <c r="B62" s="9">
        <v>45717.0</v>
      </c>
      <c r="C62" s="10">
        <v>45717.0</v>
      </c>
      <c r="D62" s="6" t="s">
        <v>1363</v>
      </c>
      <c r="E62" s="6" t="s">
        <v>1364</v>
      </c>
      <c r="F62" s="6" t="s">
        <v>1365</v>
      </c>
      <c r="G62" s="7">
        <v>141577.91</v>
      </c>
      <c r="H62" s="2">
        <v>141577.91</v>
      </c>
      <c r="I62" s="6" t="s">
        <v>1366</v>
      </c>
      <c r="J62" s="6" t="s">
        <v>1367</v>
      </c>
      <c r="K62" s="6" t="s">
        <v>1240</v>
      </c>
      <c r="L62" s="7" t="str">
        <f t="shared" si="1"/>
        <v>Sequence Error</v>
      </c>
    </row>
    <row r="63">
      <c r="A63" s="2" t="s">
        <v>1222</v>
      </c>
      <c r="B63" s="9">
        <v>45717.0</v>
      </c>
      <c r="C63" s="10">
        <v>45748.0</v>
      </c>
      <c r="D63" s="6" t="s">
        <v>1363</v>
      </c>
      <c r="E63" s="6" t="s">
        <v>1368</v>
      </c>
      <c r="F63" s="6" t="s">
        <v>1369</v>
      </c>
      <c r="G63" s="7">
        <v>137532.83</v>
      </c>
      <c r="H63" s="2">
        <v>137532.83</v>
      </c>
      <c r="I63" s="6" t="s">
        <v>1366</v>
      </c>
      <c r="J63" s="6" t="s">
        <v>1367</v>
      </c>
      <c r="K63" s="6" t="s">
        <v>1240</v>
      </c>
      <c r="L63" s="7" t="str">
        <f t="shared" si="1"/>
        <v>OK</v>
      </c>
    </row>
    <row r="64">
      <c r="A64" s="2" t="s">
        <v>1222</v>
      </c>
      <c r="B64" s="9">
        <v>45717.0</v>
      </c>
      <c r="C64" s="10">
        <v>45778.0</v>
      </c>
      <c r="D64" s="6" t="s">
        <v>1363</v>
      </c>
      <c r="E64" s="6" t="s">
        <v>1370</v>
      </c>
      <c r="F64" s="6" t="s">
        <v>1371</v>
      </c>
      <c r="G64" s="7">
        <v>133487.75</v>
      </c>
      <c r="H64" s="2">
        <v>133487.75</v>
      </c>
      <c r="I64" s="6" t="s">
        <v>1372</v>
      </c>
      <c r="J64" s="6" t="s">
        <v>1373</v>
      </c>
      <c r="K64" s="6" t="s">
        <v>408</v>
      </c>
      <c r="L64" s="7" t="str">
        <f t="shared" si="1"/>
        <v>OK</v>
      </c>
    </row>
    <row r="65">
      <c r="A65" s="2" t="s">
        <v>1222</v>
      </c>
      <c r="B65" s="9">
        <v>45717.0</v>
      </c>
      <c r="C65" s="10">
        <v>45809.0</v>
      </c>
      <c r="D65" s="6" t="s">
        <v>1363</v>
      </c>
      <c r="E65" s="6" t="s">
        <v>1374</v>
      </c>
      <c r="F65" s="6" t="s">
        <v>1375</v>
      </c>
      <c r="G65" s="7">
        <v>129442.67</v>
      </c>
      <c r="H65" s="2">
        <v>129442.67</v>
      </c>
      <c r="I65" s="6" t="s">
        <v>1366</v>
      </c>
      <c r="J65" s="6" t="s">
        <v>1367</v>
      </c>
      <c r="K65" s="6" t="s">
        <v>1240</v>
      </c>
      <c r="L65" s="7" t="str">
        <f t="shared" si="1"/>
        <v>OK</v>
      </c>
    </row>
    <row r="66">
      <c r="A66" s="2" t="s">
        <v>1222</v>
      </c>
      <c r="B66" s="9">
        <v>45717.0</v>
      </c>
      <c r="C66" s="10">
        <v>45839.0</v>
      </c>
      <c r="D66" s="6" t="s">
        <v>1363</v>
      </c>
      <c r="E66" s="6" t="s">
        <v>1376</v>
      </c>
      <c r="F66" s="6" t="s">
        <v>1377</v>
      </c>
      <c r="G66" s="7">
        <v>125397.59</v>
      </c>
      <c r="H66" s="2">
        <v>125397.59</v>
      </c>
      <c r="I66" s="6" t="s">
        <v>1366</v>
      </c>
      <c r="J66" s="6" t="s">
        <v>1367</v>
      </c>
      <c r="K66" s="6" t="s">
        <v>1240</v>
      </c>
      <c r="L66" s="7" t="str">
        <f t="shared" si="1"/>
        <v>OK</v>
      </c>
    </row>
    <row r="67">
      <c r="A67" s="2" t="s">
        <v>1222</v>
      </c>
      <c r="B67" s="9">
        <v>45717.0</v>
      </c>
      <c r="C67" s="10">
        <v>45870.0</v>
      </c>
      <c r="D67" s="6" t="s">
        <v>1363</v>
      </c>
      <c r="E67" s="6" t="s">
        <v>1378</v>
      </c>
      <c r="F67" s="6" t="s">
        <v>1379</v>
      </c>
      <c r="G67" s="7">
        <v>121352.51</v>
      </c>
      <c r="H67" s="2">
        <v>121352.51</v>
      </c>
      <c r="I67" s="6" t="s">
        <v>1366</v>
      </c>
      <c r="J67" s="6" t="s">
        <v>1367</v>
      </c>
      <c r="K67" s="6" t="s">
        <v>1240</v>
      </c>
      <c r="L67" s="7" t="str">
        <f t="shared" si="1"/>
        <v>OK</v>
      </c>
    </row>
    <row r="68">
      <c r="A68" s="2" t="s">
        <v>1222</v>
      </c>
      <c r="B68" s="9">
        <v>45717.0</v>
      </c>
      <c r="C68" s="10">
        <v>45901.0</v>
      </c>
      <c r="D68" s="6" t="s">
        <v>1363</v>
      </c>
      <c r="E68" s="6" t="s">
        <v>1380</v>
      </c>
      <c r="F68" s="6" t="s">
        <v>1381</v>
      </c>
      <c r="G68" s="7">
        <v>117307.43</v>
      </c>
      <c r="H68" s="2">
        <v>117307.43</v>
      </c>
      <c r="I68" s="6" t="s">
        <v>1363</v>
      </c>
      <c r="J68" s="6" t="s">
        <v>1245</v>
      </c>
      <c r="K68" s="6" t="s">
        <v>1240</v>
      </c>
      <c r="L68" s="7" t="str">
        <f t="shared" si="1"/>
        <v>OK</v>
      </c>
    </row>
    <row r="69">
      <c r="A69" s="2" t="s">
        <v>1222</v>
      </c>
      <c r="B69" s="9">
        <v>45717.0</v>
      </c>
      <c r="C69" s="10">
        <v>45931.0</v>
      </c>
      <c r="D69" s="6" t="s">
        <v>1363</v>
      </c>
      <c r="E69" s="6" t="s">
        <v>1382</v>
      </c>
      <c r="F69" s="6" t="s">
        <v>1383</v>
      </c>
      <c r="G69" s="7">
        <v>113262.35</v>
      </c>
      <c r="H69" s="2">
        <v>113262.35</v>
      </c>
      <c r="I69" s="6" t="s">
        <v>1363</v>
      </c>
      <c r="J69" s="6" t="s">
        <v>1245</v>
      </c>
      <c r="K69" s="6" t="s">
        <v>1240</v>
      </c>
      <c r="L69" s="7" t="str">
        <f t="shared" si="1"/>
        <v>OK</v>
      </c>
    </row>
    <row r="70">
      <c r="A70" s="2" t="s">
        <v>1222</v>
      </c>
      <c r="B70" s="9">
        <v>45717.0</v>
      </c>
      <c r="C70" s="10">
        <v>45962.0</v>
      </c>
      <c r="D70" s="6" t="s">
        <v>1363</v>
      </c>
      <c r="E70" s="6" t="s">
        <v>1384</v>
      </c>
      <c r="F70" s="6" t="s">
        <v>1385</v>
      </c>
      <c r="G70" s="7">
        <v>109217.27</v>
      </c>
      <c r="H70" s="2">
        <v>109217.27</v>
      </c>
      <c r="I70" s="6" t="s">
        <v>1363</v>
      </c>
      <c r="J70" s="6" t="s">
        <v>1245</v>
      </c>
      <c r="K70" s="6" t="s">
        <v>1240</v>
      </c>
      <c r="L70" s="7" t="str">
        <f t="shared" si="1"/>
        <v>OK</v>
      </c>
    </row>
    <row r="71">
      <c r="A71" s="2" t="s">
        <v>1222</v>
      </c>
      <c r="B71" s="9">
        <v>45717.0</v>
      </c>
      <c r="C71" s="10">
        <v>45992.0</v>
      </c>
      <c r="D71" s="6" t="s">
        <v>1363</v>
      </c>
      <c r="E71" s="6" t="s">
        <v>1386</v>
      </c>
      <c r="F71" s="6" t="s">
        <v>1387</v>
      </c>
      <c r="G71" s="7">
        <v>105172.19</v>
      </c>
      <c r="H71" s="2">
        <v>105172.19</v>
      </c>
      <c r="I71" s="6" t="s">
        <v>1363</v>
      </c>
      <c r="J71" s="6" t="s">
        <v>1245</v>
      </c>
      <c r="K71" s="6" t="s">
        <v>1240</v>
      </c>
      <c r="L71" s="7" t="str">
        <f t="shared" si="1"/>
        <v>OK</v>
      </c>
    </row>
    <row r="72">
      <c r="A72" s="2" t="s">
        <v>1222</v>
      </c>
      <c r="B72" s="9">
        <v>45717.0</v>
      </c>
      <c r="C72" s="10">
        <v>46023.0</v>
      </c>
      <c r="D72" s="6" t="s">
        <v>1363</v>
      </c>
      <c r="E72" s="6" t="s">
        <v>1388</v>
      </c>
      <c r="F72" s="6" t="s">
        <v>1389</v>
      </c>
      <c r="G72" s="7">
        <v>101127.11</v>
      </c>
      <c r="H72" s="2">
        <v>101127.11</v>
      </c>
      <c r="I72" s="6" t="s">
        <v>1366</v>
      </c>
      <c r="J72" s="6" t="s">
        <v>1367</v>
      </c>
      <c r="K72" s="6" t="s">
        <v>1240</v>
      </c>
      <c r="L72" s="7" t="str">
        <f t="shared" si="1"/>
        <v>OK</v>
      </c>
    </row>
    <row r="73">
      <c r="A73" s="2" t="s">
        <v>1222</v>
      </c>
      <c r="B73" s="9">
        <v>45717.0</v>
      </c>
      <c r="C73" s="10">
        <v>46054.0</v>
      </c>
      <c r="D73" s="6" t="s">
        <v>1363</v>
      </c>
      <c r="E73" s="6" t="s">
        <v>1390</v>
      </c>
      <c r="F73" s="6" t="s">
        <v>1391</v>
      </c>
      <c r="G73" s="7">
        <v>97082.03</v>
      </c>
      <c r="H73" s="2">
        <v>97082.03</v>
      </c>
      <c r="I73" s="6" t="s">
        <v>1366</v>
      </c>
      <c r="J73" s="6" t="s">
        <v>1367</v>
      </c>
      <c r="K73" s="6" t="s">
        <v>1240</v>
      </c>
      <c r="L73" s="7" t="str">
        <f t="shared" si="1"/>
        <v>OK</v>
      </c>
    </row>
    <row r="74">
      <c r="A74" s="2" t="s">
        <v>1222</v>
      </c>
      <c r="B74" s="9">
        <v>45717.0</v>
      </c>
      <c r="C74" s="10">
        <v>46082.0</v>
      </c>
      <c r="D74" s="6" t="s">
        <v>1363</v>
      </c>
      <c r="E74" s="6" t="s">
        <v>1392</v>
      </c>
      <c r="F74" s="6" t="s">
        <v>1393</v>
      </c>
      <c r="G74" s="7">
        <v>93036.95</v>
      </c>
      <c r="H74" s="2">
        <v>93036.95</v>
      </c>
      <c r="I74" s="6" t="s">
        <v>1366</v>
      </c>
      <c r="J74" s="6" t="s">
        <v>1367</v>
      </c>
      <c r="K74" s="6" t="s">
        <v>1240</v>
      </c>
      <c r="L74" s="7" t="str">
        <f t="shared" si="1"/>
        <v>OK</v>
      </c>
    </row>
    <row r="75">
      <c r="A75" s="2" t="s">
        <v>1222</v>
      </c>
      <c r="B75" s="9">
        <v>45717.0</v>
      </c>
      <c r="C75" s="10">
        <v>46113.0</v>
      </c>
      <c r="D75" s="6" t="s">
        <v>1363</v>
      </c>
      <c r="E75" s="6" t="s">
        <v>1394</v>
      </c>
      <c r="F75" s="6" t="s">
        <v>1395</v>
      </c>
      <c r="G75" s="7">
        <v>88991.87</v>
      </c>
      <c r="H75" s="2">
        <v>88991.87</v>
      </c>
      <c r="I75" s="6" t="s">
        <v>1363</v>
      </c>
      <c r="J75" s="6" t="s">
        <v>1245</v>
      </c>
      <c r="K75" s="6" t="s">
        <v>1240</v>
      </c>
      <c r="L75" s="7" t="str">
        <f t="shared" si="1"/>
        <v>OK</v>
      </c>
    </row>
    <row r="76">
      <c r="A76" s="2" t="s">
        <v>1222</v>
      </c>
      <c r="B76" s="9">
        <v>45717.0</v>
      </c>
      <c r="C76" s="10">
        <v>46143.0</v>
      </c>
      <c r="D76" s="6" t="s">
        <v>1363</v>
      </c>
      <c r="E76" s="6" t="s">
        <v>1396</v>
      </c>
      <c r="F76" s="6" t="s">
        <v>1397</v>
      </c>
      <c r="G76" s="7">
        <v>84946.79</v>
      </c>
      <c r="H76" s="2">
        <v>84946.79</v>
      </c>
      <c r="I76" s="6" t="s">
        <v>1363</v>
      </c>
      <c r="J76" s="6" t="s">
        <v>1245</v>
      </c>
      <c r="K76" s="6" t="s">
        <v>1240</v>
      </c>
      <c r="L76" s="7" t="str">
        <f t="shared" si="1"/>
        <v>OK</v>
      </c>
    </row>
    <row r="77">
      <c r="A77" s="2" t="s">
        <v>1222</v>
      </c>
      <c r="B77" s="9">
        <v>45717.0</v>
      </c>
      <c r="C77" s="10">
        <v>46174.0</v>
      </c>
      <c r="D77" s="6" t="s">
        <v>1363</v>
      </c>
      <c r="E77" s="6" t="s">
        <v>1398</v>
      </c>
      <c r="F77" s="6" t="s">
        <v>1399</v>
      </c>
      <c r="G77" s="7">
        <v>80901.71</v>
      </c>
      <c r="H77" s="2">
        <v>80901.71</v>
      </c>
      <c r="I77" s="6" t="s">
        <v>1363</v>
      </c>
      <c r="J77" s="6" t="s">
        <v>1245</v>
      </c>
      <c r="K77" s="6" t="s">
        <v>1240</v>
      </c>
      <c r="L77" s="7" t="str">
        <f t="shared" si="1"/>
        <v>OK</v>
      </c>
    </row>
    <row r="78">
      <c r="A78" s="2" t="s">
        <v>1222</v>
      </c>
      <c r="B78" s="9">
        <v>45717.0</v>
      </c>
      <c r="C78" s="10">
        <v>46204.0</v>
      </c>
      <c r="D78" s="6" t="s">
        <v>1363</v>
      </c>
      <c r="E78" s="6" t="s">
        <v>1400</v>
      </c>
      <c r="F78" s="6" t="s">
        <v>1401</v>
      </c>
      <c r="G78" s="7">
        <v>76856.63</v>
      </c>
      <c r="H78" s="2">
        <v>76856.63</v>
      </c>
      <c r="I78" s="6" t="s">
        <v>1366</v>
      </c>
      <c r="J78" s="6" t="s">
        <v>1367</v>
      </c>
      <c r="K78" s="6" t="s">
        <v>1240</v>
      </c>
      <c r="L78" s="7" t="str">
        <f t="shared" si="1"/>
        <v>OK</v>
      </c>
    </row>
    <row r="79">
      <c r="A79" s="2" t="s">
        <v>1222</v>
      </c>
      <c r="B79" s="9">
        <v>45717.0</v>
      </c>
      <c r="C79" s="10">
        <v>46235.0</v>
      </c>
      <c r="D79" s="6" t="s">
        <v>1363</v>
      </c>
      <c r="E79" s="6" t="s">
        <v>1402</v>
      </c>
      <c r="F79" s="6" t="s">
        <v>1403</v>
      </c>
      <c r="G79" s="7">
        <v>72811.55</v>
      </c>
      <c r="H79" s="2">
        <v>72811.55</v>
      </c>
      <c r="I79" s="6" t="s">
        <v>1366</v>
      </c>
      <c r="J79" s="6" t="s">
        <v>1367</v>
      </c>
      <c r="K79" s="6" t="s">
        <v>1240</v>
      </c>
      <c r="L79" s="7" t="str">
        <f t="shared" si="1"/>
        <v>OK</v>
      </c>
    </row>
    <row r="80">
      <c r="A80" s="2" t="s">
        <v>1222</v>
      </c>
      <c r="B80" s="9">
        <v>45717.0</v>
      </c>
      <c r="C80" s="10">
        <v>46266.0</v>
      </c>
      <c r="D80" s="6" t="s">
        <v>1363</v>
      </c>
      <c r="E80" s="6" t="s">
        <v>1404</v>
      </c>
      <c r="F80" s="6" t="s">
        <v>1405</v>
      </c>
      <c r="G80" s="7">
        <v>68766.47</v>
      </c>
      <c r="H80" s="2">
        <v>68766.47</v>
      </c>
      <c r="I80" s="6" t="s">
        <v>1366</v>
      </c>
      <c r="J80" s="6" t="s">
        <v>1367</v>
      </c>
      <c r="K80" s="6" t="s">
        <v>1240</v>
      </c>
      <c r="L80" s="7" t="str">
        <f t="shared" si="1"/>
        <v>OK</v>
      </c>
    </row>
    <row r="81">
      <c r="A81" s="2" t="s">
        <v>1222</v>
      </c>
      <c r="B81" s="9">
        <v>45717.0</v>
      </c>
      <c r="C81" s="10">
        <v>46296.0</v>
      </c>
      <c r="D81" s="6" t="s">
        <v>1363</v>
      </c>
      <c r="E81" s="6" t="s">
        <v>1406</v>
      </c>
      <c r="F81" s="6" t="s">
        <v>1407</v>
      </c>
      <c r="G81" s="7">
        <v>64721.39</v>
      </c>
      <c r="H81" s="2">
        <v>64721.39</v>
      </c>
      <c r="I81" s="6" t="s">
        <v>1363</v>
      </c>
      <c r="J81" s="6" t="s">
        <v>1245</v>
      </c>
      <c r="K81" s="6" t="s">
        <v>1240</v>
      </c>
      <c r="L81" s="7" t="str">
        <f t="shared" si="1"/>
        <v>OK</v>
      </c>
    </row>
    <row r="82">
      <c r="A82" s="2" t="s">
        <v>1222</v>
      </c>
      <c r="B82" s="9">
        <v>45717.0</v>
      </c>
      <c r="C82" s="10">
        <v>46327.0</v>
      </c>
      <c r="D82" s="6" t="s">
        <v>1363</v>
      </c>
      <c r="E82" s="6" t="s">
        <v>1408</v>
      </c>
      <c r="F82" s="6" t="s">
        <v>1409</v>
      </c>
      <c r="G82" s="7">
        <v>60676.31</v>
      </c>
      <c r="H82" s="2">
        <v>60676.31</v>
      </c>
      <c r="I82" s="6" t="s">
        <v>1366</v>
      </c>
      <c r="J82" s="6" t="s">
        <v>1367</v>
      </c>
      <c r="K82" s="6" t="s">
        <v>1240</v>
      </c>
      <c r="L82" s="7" t="str">
        <f t="shared" si="1"/>
        <v>OK</v>
      </c>
    </row>
    <row r="83">
      <c r="A83" s="2" t="s">
        <v>1222</v>
      </c>
      <c r="B83" s="9">
        <v>45717.0</v>
      </c>
      <c r="C83" s="10">
        <v>46357.0</v>
      </c>
      <c r="D83" s="6" t="s">
        <v>1363</v>
      </c>
      <c r="E83" s="6" t="s">
        <v>1410</v>
      </c>
      <c r="F83" s="6" t="s">
        <v>1411</v>
      </c>
      <c r="G83" s="7">
        <v>56631.23</v>
      </c>
      <c r="H83" s="2">
        <v>56631.23</v>
      </c>
      <c r="I83" s="6" t="s">
        <v>1366</v>
      </c>
      <c r="J83" s="6" t="s">
        <v>1367</v>
      </c>
      <c r="K83" s="6" t="s">
        <v>1240</v>
      </c>
      <c r="L83" s="7" t="str">
        <f t="shared" si="1"/>
        <v>OK</v>
      </c>
    </row>
    <row r="84">
      <c r="A84" s="2" t="s">
        <v>1222</v>
      </c>
      <c r="B84" s="9">
        <v>45717.0</v>
      </c>
      <c r="C84" s="10">
        <v>46388.0</v>
      </c>
      <c r="D84" s="6" t="s">
        <v>1363</v>
      </c>
      <c r="E84" s="6" t="s">
        <v>1412</v>
      </c>
      <c r="F84" s="6" t="s">
        <v>1413</v>
      </c>
      <c r="G84" s="7">
        <v>52586.15</v>
      </c>
      <c r="H84" s="2">
        <v>52586.15</v>
      </c>
      <c r="I84" s="6" t="s">
        <v>1363</v>
      </c>
      <c r="J84" s="6" t="s">
        <v>1245</v>
      </c>
      <c r="K84" s="6" t="s">
        <v>1240</v>
      </c>
      <c r="L84" s="7" t="str">
        <f t="shared" si="1"/>
        <v>OK</v>
      </c>
    </row>
    <row r="85">
      <c r="A85" s="2" t="s">
        <v>1222</v>
      </c>
      <c r="B85" s="9">
        <v>45717.0</v>
      </c>
      <c r="C85" s="10">
        <v>46419.0</v>
      </c>
      <c r="D85" s="6" t="s">
        <v>1363</v>
      </c>
      <c r="E85" s="6" t="s">
        <v>1414</v>
      </c>
      <c r="F85" s="6" t="s">
        <v>1415</v>
      </c>
      <c r="G85" s="7">
        <v>48541.07</v>
      </c>
      <c r="H85" s="2">
        <v>48541.07</v>
      </c>
      <c r="I85" s="6" t="s">
        <v>1366</v>
      </c>
      <c r="J85" s="6" t="s">
        <v>1367</v>
      </c>
      <c r="K85" s="6" t="s">
        <v>1240</v>
      </c>
      <c r="L85" s="7" t="str">
        <f t="shared" si="1"/>
        <v>OK</v>
      </c>
    </row>
    <row r="86">
      <c r="A86" s="2" t="s">
        <v>1222</v>
      </c>
      <c r="B86" s="9">
        <v>45717.0</v>
      </c>
      <c r="C86" s="10">
        <v>46447.0</v>
      </c>
      <c r="D86" s="6" t="s">
        <v>1363</v>
      </c>
      <c r="E86" s="6" t="s">
        <v>1416</v>
      </c>
      <c r="F86" s="6" t="s">
        <v>1417</v>
      </c>
      <c r="G86" s="7">
        <v>44495.99</v>
      </c>
      <c r="H86" s="2">
        <v>44495.99</v>
      </c>
      <c r="I86" s="6" t="s">
        <v>1363</v>
      </c>
      <c r="J86" s="6" t="s">
        <v>1245</v>
      </c>
      <c r="K86" s="6" t="s">
        <v>1240</v>
      </c>
      <c r="L86" s="7" t="str">
        <f t="shared" si="1"/>
        <v>OK</v>
      </c>
    </row>
    <row r="87">
      <c r="A87" s="2" t="s">
        <v>1222</v>
      </c>
      <c r="B87" s="9">
        <v>45717.0</v>
      </c>
      <c r="C87" s="10">
        <v>46478.0</v>
      </c>
      <c r="D87" s="6" t="s">
        <v>1363</v>
      </c>
      <c r="E87" s="6" t="s">
        <v>1418</v>
      </c>
      <c r="F87" s="6" t="s">
        <v>1419</v>
      </c>
      <c r="G87" s="7">
        <v>40450.91</v>
      </c>
      <c r="H87" s="2">
        <v>40450.91</v>
      </c>
      <c r="I87" s="6" t="s">
        <v>1363</v>
      </c>
      <c r="J87" s="6" t="s">
        <v>1245</v>
      </c>
      <c r="K87" s="6" t="s">
        <v>1240</v>
      </c>
      <c r="L87" s="7" t="str">
        <f t="shared" si="1"/>
        <v>OK</v>
      </c>
    </row>
    <row r="88">
      <c r="A88" s="2" t="s">
        <v>1222</v>
      </c>
      <c r="B88" s="9">
        <v>45717.0</v>
      </c>
      <c r="C88" s="10">
        <v>46508.0</v>
      </c>
      <c r="D88" s="6" t="s">
        <v>1363</v>
      </c>
      <c r="E88" s="6" t="s">
        <v>1420</v>
      </c>
      <c r="F88" s="6" t="s">
        <v>1421</v>
      </c>
      <c r="G88" s="7">
        <v>36405.83</v>
      </c>
      <c r="H88" s="2">
        <v>36405.83</v>
      </c>
      <c r="I88" s="6" t="s">
        <v>1366</v>
      </c>
      <c r="J88" s="6" t="s">
        <v>1367</v>
      </c>
      <c r="K88" s="6" t="s">
        <v>1240</v>
      </c>
      <c r="L88" s="7" t="str">
        <f t="shared" si="1"/>
        <v>OK</v>
      </c>
    </row>
    <row r="89">
      <c r="A89" s="2" t="s">
        <v>1222</v>
      </c>
      <c r="B89" s="9">
        <v>45717.0</v>
      </c>
      <c r="C89" s="10">
        <v>46539.0</v>
      </c>
      <c r="D89" s="6" t="s">
        <v>1363</v>
      </c>
      <c r="E89" s="6" t="s">
        <v>1422</v>
      </c>
      <c r="F89" s="6" t="s">
        <v>1423</v>
      </c>
      <c r="G89" s="7">
        <v>32360.75</v>
      </c>
      <c r="H89" s="2">
        <v>32360.75</v>
      </c>
      <c r="I89" s="6" t="s">
        <v>1363</v>
      </c>
      <c r="J89" s="6" t="s">
        <v>1245</v>
      </c>
      <c r="K89" s="6" t="s">
        <v>1240</v>
      </c>
      <c r="L89" s="7" t="str">
        <f t="shared" si="1"/>
        <v>OK</v>
      </c>
    </row>
    <row r="90">
      <c r="A90" s="2" t="s">
        <v>1222</v>
      </c>
      <c r="B90" s="9">
        <v>45717.0</v>
      </c>
      <c r="C90" s="10">
        <v>46569.0</v>
      </c>
      <c r="D90" s="6" t="s">
        <v>1363</v>
      </c>
      <c r="E90" s="6" t="s">
        <v>1424</v>
      </c>
      <c r="F90" s="6" t="s">
        <v>1425</v>
      </c>
      <c r="G90" s="7">
        <v>28315.67</v>
      </c>
      <c r="H90" s="2">
        <v>28315.67</v>
      </c>
      <c r="I90" s="6" t="s">
        <v>1363</v>
      </c>
      <c r="J90" s="6" t="s">
        <v>1245</v>
      </c>
      <c r="K90" s="6" t="s">
        <v>1240</v>
      </c>
      <c r="L90" s="7" t="str">
        <f t="shared" si="1"/>
        <v>OK</v>
      </c>
    </row>
    <row r="91">
      <c r="A91" s="2" t="s">
        <v>1222</v>
      </c>
      <c r="B91" s="9">
        <v>45717.0</v>
      </c>
      <c r="C91" s="10">
        <v>46600.0</v>
      </c>
      <c r="D91" s="6" t="s">
        <v>1363</v>
      </c>
      <c r="E91" s="6" t="s">
        <v>1426</v>
      </c>
      <c r="F91" s="6" t="s">
        <v>1427</v>
      </c>
      <c r="G91" s="7">
        <v>24270.59</v>
      </c>
      <c r="H91" s="2">
        <v>24270.59</v>
      </c>
      <c r="I91" s="6" t="s">
        <v>1363</v>
      </c>
      <c r="J91" s="6" t="s">
        <v>1245</v>
      </c>
      <c r="K91" s="6" t="s">
        <v>1240</v>
      </c>
      <c r="L91" s="7" t="str">
        <f t="shared" si="1"/>
        <v>OK</v>
      </c>
    </row>
    <row r="92">
      <c r="A92" s="2" t="s">
        <v>1222</v>
      </c>
      <c r="B92" s="9">
        <v>45717.0</v>
      </c>
      <c r="C92" s="10">
        <v>46631.0</v>
      </c>
      <c r="D92" s="6" t="s">
        <v>1363</v>
      </c>
      <c r="E92" s="6" t="s">
        <v>1428</v>
      </c>
      <c r="F92" s="6" t="s">
        <v>1429</v>
      </c>
      <c r="G92" s="7">
        <v>20225.51</v>
      </c>
      <c r="H92" s="2">
        <v>20225.51</v>
      </c>
      <c r="I92" s="6" t="s">
        <v>1363</v>
      </c>
      <c r="J92" s="6" t="s">
        <v>1245</v>
      </c>
      <c r="K92" s="6" t="s">
        <v>1240</v>
      </c>
      <c r="L92" s="7" t="str">
        <f t="shared" si="1"/>
        <v>OK</v>
      </c>
    </row>
    <row r="93">
      <c r="A93" s="2" t="s">
        <v>1222</v>
      </c>
      <c r="B93" s="9">
        <v>45717.0</v>
      </c>
      <c r="C93" s="10">
        <v>46661.0</v>
      </c>
      <c r="D93" s="6" t="s">
        <v>1363</v>
      </c>
      <c r="E93" s="6" t="s">
        <v>1430</v>
      </c>
      <c r="F93" s="6" t="s">
        <v>1431</v>
      </c>
      <c r="G93" s="7">
        <v>16180.43</v>
      </c>
      <c r="H93" s="2">
        <v>16180.43</v>
      </c>
      <c r="I93" s="6" t="s">
        <v>1363</v>
      </c>
      <c r="J93" s="6" t="s">
        <v>1245</v>
      </c>
      <c r="K93" s="6" t="s">
        <v>1240</v>
      </c>
      <c r="L93" s="7" t="str">
        <f t="shared" si="1"/>
        <v>OK</v>
      </c>
    </row>
    <row r="94">
      <c r="A94" s="2" t="s">
        <v>1222</v>
      </c>
      <c r="B94" s="9">
        <v>45717.0</v>
      </c>
      <c r="C94" s="10">
        <v>46692.0</v>
      </c>
      <c r="D94" s="6" t="s">
        <v>1363</v>
      </c>
      <c r="E94" s="6" t="s">
        <v>1432</v>
      </c>
      <c r="F94" s="6" t="s">
        <v>1433</v>
      </c>
      <c r="G94" s="7">
        <v>12135.35</v>
      </c>
      <c r="H94" s="2">
        <v>12135.35</v>
      </c>
      <c r="I94" s="6" t="s">
        <v>1366</v>
      </c>
      <c r="J94" s="6" t="s">
        <v>1367</v>
      </c>
      <c r="K94" s="6" t="s">
        <v>1240</v>
      </c>
      <c r="L94" s="7" t="str">
        <f t="shared" si="1"/>
        <v>OK</v>
      </c>
    </row>
    <row r="95">
      <c r="A95" s="2" t="s">
        <v>1222</v>
      </c>
      <c r="B95" s="9">
        <v>45717.0</v>
      </c>
      <c r="C95" s="10">
        <v>46722.0</v>
      </c>
      <c r="D95" s="6" t="s">
        <v>1363</v>
      </c>
      <c r="E95" s="6" t="s">
        <v>1434</v>
      </c>
      <c r="F95" s="6" t="s">
        <v>1435</v>
      </c>
      <c r="G95" s="7">
        <v>8090.27</v>
      </c>
      <c r="H95" s="2">
        <v>8090.27</v>
      </c>
      <c r="I95" s="6" t="s">
        <v>1363</v>
      </c>
      <c r="J95" s="6" t="s">
        <v>1245</v>
      </c>
      <c r="K95" s="6" t="s">
        <v>1240</v>
      </c>
      <c r="L95" s="7" t="str">
        <f t="shared" si="1"/>
        <v>OK</v>
      </c>
    </row>
    <row r="96">
      <c r="A96" s="2" t="s">
        <v>1222</v>
      </c>
      <c r="B96" s="9">
        <v>45717.0</v>
      </c>
      <c r="C96" s="10">
        <v>46753.0</v>
      </c>
      <c r="D96" s="6" t="s">
        <v>1363</v>
      </c>
      <c r="E96" s="6" t="s">
        <v>1436</v>
      </c>
      <c r="F96" s="6" t="s">
        <v>1437</v>
      </c>
      <c r="G96" s="7">
        <v>4045.19</v>
      </c>
      <c r="H96" s="2">
        <v>4045.19</v>
      </c>
      <c r="I96" s="6" t="s">
        <v>1363</v>
      </c>
      <c r="J96" s="6" t="s">
        <v>1245</v>
      </c>
      <c r="K96" s="6" t="s">
        <v>1240</v>
      </c>
      <c r="L96" s="7" t="str">
        <f t="shared" si="1"/>
        <v>OK</v>
      </c>
    </row>
    <row r="97">
      <c r="A97" s="2" t="s">
        <v>1222</v>
      </c>
      <c r="B97" s="9">
        <v>45717.0</v>
      </c>
      <c r="C97" s="10">
        <v>46784.0</v>
      </c>
      <c r="D97" s="6" t="s">
        <v>1363</v>
      </c>
      <c r="E97" s="6" t="s">
        <v>1438</v>
      </c>
      <c r="F97" s="6" t="s">
        <v>1439</v>
      </c>
      <c r="G97" s="7">
        <v>0.11</v>
      </c>
      <c r="H97" s="2">
        <v>0.11</v>
      </c>
      <c r="I97" s="6" t="s">
        <v>1366</v>
      </c>
      <c r="J97" s="6" t="s">
        <v>1367</v>
      </c>
      <c r="K97" s="6" t="s">
        <v>1240</v>
      </c>
      <c r="L97" s="7" t="str">
        <f t="shared" si="1"/>
        <v>OK</v>
      </c>
    </row>
    <row r="98">
      <c r="A98" s="2" t="s">
        <v>1223</v>
      </c>
      <c r="B98" s="9">
        <v>45809.0</v>
      </c>
      <c r="C98" s="10">
        <v>45809.0</v>
      </c>
      <c r="D98" s="6" t="s">
        <v>1440</v>
      </c>
      <c r="E98" s="6" t="s">
        <v>1441</v>
      </c>
      <c r="F98" s="6" t="s">
        <v>1442</v>
      </c>
      <c r="G98" s="7">
        <v>87447.6</v>
      </c>
      <c r="H98" s="2">
        <v>87447.6</v>
      </c>
      <c r="I98" s="6" t="s">
        <v>1440</v>
      </c>
      <c r="J98" s="6" t="s">
        <v>1245</v>
      </c>
      <c r="K98" s="6" t="s">
        <v>1240</v>
      </c>
      <c r="L98" s="7" t="str">
        <f t="shared" si="1"/>
        <v>Sequence Error</v>
      </c>
    </row>
    <row r="99">
      <c r="A99" s="2" t="s">
        <v>1223</v>
      </c>
      <c r="B99" s="9">
        <v>45809.0</v>
      </c>
      <c r="C99" s="10">
        <v>45839.0</v>
      </c>
      <c r="D99" s="6" t="s">
        <v>1440</v>
      </c>
      <c r="E99" s="6" t="s">
        <v>1443</v>
      </c>
      <c r="F99" s="6" t="s">
        <v>1444</v>
      </c>
      <c r="G99" s="7">
        <v>83645.53</v>
      </c>
      <c r="H99" s="2">
        <v>83645.53</v>
      </c>
      <c r="I99" s="6" t="s">
        <v>1440</v>
      </c>
      <c r="J99" s="6" t="s">
        <v>1245</v>
      </c>
      <c r="K99" s="6" t="s">
        <v>1240</v>
      </c>
      <c r="L99" s="7" t="str">
        <f t="shared" si="1"/>
        <v>OK</v>
      </c>
    </row>
    <row r="100">
      <c r="A100" s="2" t="s">
        <v>1223</v>
      </c>
      <c r="B100" s="9">
        <v>45809.0</v>
      </c>
      <c r="C100" s="10">
        <v>45870.0</v>
      </c>
      <c r="D100" s="6" t="s">
        <v>1440</v>
      </c>
      <c r="E100" s="6" t="s">
        <v>1445</v>
      </c>
      <c r="F100" s="6" t="s">
        <v>1446</v>
      </c>
      <c r="G100" s="7">
        <v>79843.46</v>
      </c>
      <c r="H100" s="2">
        <v>79843.46</v>
      </c>
      <c r="I100" s="6" t="s">
        <v>1440</v>
      </c>
      <c r="J100" s="6" t="s">
        <v>1245</v>
      </c>
      <c r="K100" s="6" t="s">
        <v>1240</v>
      </c>
      <c r="L100" s="7" t="str">
        <f t="shared" si="1"/>
        <v>OK</v>
      </c>
    </row>
    <row r="101">
      <c r="A101" s="2" t="s">
        <v>1223</v>
      </c>
      <c r="B101" s="9">
        <v>45809.0</v>
      </c>
      <c r="C101" s="10">
        <v>45901.0</v>
      </c>
      <c r="D101" s="6" t="s">
        <v>1440</v>
      </c>
      <c r="E101" s="6" t="s">
        <v>1447</v>
      </c>
      <c r="F101" s="6" t="s">
        <v>1448</v>
      </c>
      <c r="G101" s="7">
        <v>76041.39</v>
      </c>
      <c r="H101" s="2">
        <v>76041.39</v>
      </c>
      <c r="I101" s="6" t="s">
        <v>1440</v>
      </c>
      <c r="J101" s="6" t="s">
        <v>1245</v>
      </c>
      <c r="K101" s="6" t="s">
        <v>1240</v>
      </c>
      <c r="L101" s="7" t="str">
        <f t="shared" si="1"/>
        <v>OK</v>
      </c>
    </row>
    <row r="102">
      <c r="A102" s="2" t="s">
        <v>1223</v>
      </c>
      <c r="B102" s="9">
        <v>45809.0</v>
      </c>
      <c r="C102" s="10">
        <v>45931.0</v>
      </c>
      <c r="D102" s="6" t="s">
        <v>1440</v>
      </c>
      <c r="E102" s="6" t="s">
        <v>1449</v>
      </c>
      <c r="F102" s="6" t="s">
        <v>1450</v>
      </c>
      <c r="G102" s="7">
        <v>72239.32</v>
      </c>
      <c r="H102" s="2">
        <v>72239.32</v>
      </c>
      <c r="I102" s="6" t="s">
        <v>1440</v>
      </c>
      <c r="J102" s="6" t="s">
        <v>1245</v>
      </c>
      <c r="K102" s="6" t="s">
        <v>1240</v>
      </c>
      <c r="L102" s="7" t="str">
        <f t="shared" si="1"/>
        <v>OK</v>
      </c>
    </row>
    <row r="103">
      <c r="A103" s="2" t="s">
        <v>1223</v>
      </c>
      <c r="B103" s="9">
        <v>45809.0</v>
      </c>
      <c r="C103" s="10">
        <v>45962.0</v>
      </c>
      <c r="D103" s="6" t="s">
        <v>1440</v>
      </c>
      <c r="E103" s="6" t="s">
        <v>1451</v>
      </c>
      <c r="F103" s="6" t="s">
        <v>1452</v>
      </c>
      <c r="G103" s="7">
        <v>68437.25</v>
      </c>
      <c r="H103" s="2">
        <v>68437.25</v>
      </c>
      <c r="I103" s="6" t="s">
        <v>1440</v>
      </c>
      <c r="J103" s="6" t="s">
        <v>1245</v>
      </c>
      <c r="K103" s="6" t="s">
        <v>1240</v>
      </c>
      <c r="L103" s="7" t="str">
        <f t="shared" si="1"/>
        <v>OK</v>
      </c>
    </row>
    <row r="104">
      <c r="A104" s="2" t="s">
        <v>1223</v>
      </c>
      <c r="B104" s="9">
        <v>45809.0</v>
      </c>
      <c r="C104" s="10">
        <v>45992.0</v>
      </c>
      <c r="D104" s="6" t="s">
        <v>1440</v>
      </c>
      <c r="E104" s="6" t="s">
        <v>1453</v>
      </c>
      <c r="F104" s="6" t="s">
        <v>1454</v>
      </c>
      <c r="G104" s="7">
        <v>64635.18</v>
      </c>
      <c r="H104" s="2">
        <v>64635.18</v>
      </c>
      <c r="I104" s="6" t="s">
        <v>1440</v>
      </c>
      <c r="J104" s="6" t="s">
        <v>1245</v>
      </c>
      <c r="K104" s="6" t="s">
        <v>1240</v>
      </c>
      <c r="L104" s="7" t="str">
        <f t="shared" si="1"/>
        <v>OK</v>
      </c>
    </row>
    <row r="105">
      <c r="A105" s="2" t="s">
        <v>1223</v>
      </c>
      <c r="B105" s="9">
        <v>45809.0</v>
      </c>
      <c r="C105" s="10">
        <v>46023.0</v>
      </c>
      <c r="D105" s="6" t="s">
        <v>1440</v>
      </c>
      <c r="E105" s="6" t="s">
        <v>1455</v>
      </c>
      <c r="F105" s="6" t="s">
        <v>1456</v>
      </c>
      <c r="G105" s="7">
        <v>60833.11</v>
      </c>
      <c r="H105" s="2">
        <v>60833.11</v>
      </c>
      <c r="I105" s="6" t="s">
        <v>1440</v>
      </c>
      <c r="J105" s="6" t="s">
        <v>1245</v>
      </c>
      <c r="K105" s="6" t="s">
        <v>1240</v>
      </c>
      <c r="L105" s="7" t="str">
        <f t="shared" si="1"/>
        <v>OK</v>
      </c>
    </row>
    <row r="106">
      <c r="A106" s="2" t="s">
        <v>1223</v>
      </c>
      <c r="B106" s="9">
        <v>45809.0</v>
      </c>
      <c r="C106" s="10">
        <v>46054.0</v>
      </c>
      <c r="D106" s="6" t="s">
        <v>1440</v>
      </c>
      <c r="E106" s="6" t="s">
        <v>1457</v>
      </c>
      <c r="F106" s="6" t="s">
        <v>1458</v>
      </c>
      <c r="G106" s="7">
        <v>57031.04</v>
      </c>
      <c r="H106" s="2">
        <v>57031.04</v>
      </c>
      <c r="I106" s="6" t="s">
        <v>1440</v>
      </c>
      <c r="J106" s="6" t="s">
        <v>1245</v>
      </c>
      <c r="K106" s="6" t="s">
        <v>1240</v>
      </c>
      <c r="L106" s="7" t="str">
        <f t="shared" si="1"/>
        <v>OK</v>
      </c>
    </row>
    <row r="107">
      <c r="A107" s="2" t="s">
        <v>1223</v>
      </c>
      <c r="B107" s="9">
        <v>45809.0</v>
      </c>
      <c r="C107" s="10">
        <v>46082.0</v>
      </c>
      <c r="D107" s="6" t="s">
        <v>1440</v>
      </c>
      <c r="E107" s="6" t="s">
        <v>1459</v>
      </c>
      <c r="F107" s="6" t="s">
        <v>1460</v>
      </c>
      <c r="G107" s="7">
        <v>53228.97</v>
      </c>
      <c r="H107" s="2">
        <v>53228.97</v>
      </c>
      <c r="I107" s="6" t="s">
        <v>1440</v>
      </c>
      <c r="J107" s="6" t="s">
        <v>1245</v>
      </c>
      <c r="K107" s="6" t="s">
        <v>1240</v>
      </c>
      <c r="L107" s="7" t="str">
        <f t="shared" si="1"/>
        <v>OK</v>
      </c>
    </row>
    <row r="108">
      <c r="A108" s="2" t="s">
        <v>1223</v>
      </c>
      <c r="B108" s="9">
        <v>45809.0</v>
      </c>
      <c r="C108" s="10">
        <v>46113.0</v>
      </c>
      <c r="D108" s="6" t="s">
        <v>1440</v>
      </c>
      <c r="E108" s="6" t="s">
        <v>1461</v>
      </c>
      <c r="F108" s="6" t="s">
        <v>1462</v>
      </c>
      <c r="G108" s="7">
        <v>49426.9</v>
      </c>
      <c r="H108" s="2">
        <v>49426.9</v>
      </c>
      <c r="I108" s="6" t="s">
        <v>1440</v>
      </c>
      <c r="J108" s="6" t="s">
        <v>1245</v>
      </c>
      <c r="K108" s="6" t="s">
        <v>1240</v>
      </c>
      <c r="L108" s="7" t="str">
        <f t="shared" si="1"/>
        <v>OK</v>
      </c>
    </row>
    <row r="109">
      <c r="A109" s="2" t="s">
        <v>1223</v>
      </c>
      <c r="B109" s="9">
        <v>45809.0</v>
      </c>
      <c r="C109" s="10">
        <v>46143.0</v>
      </c>
      <c r="D109" s="6" t="s">
        <v>1440</v>
      </c>
      <c r="E109" s="6" t="s">
        <v>1463</v>
      </c>
      <c r="F109" s="6" t="s">
        <v>1464</v>
      </c>
      <c r="G109" s="7">
        <v>45624.83</v>
      </c>
      <c r="H109" s="2">
        <v>45624.83</v>
      </c>
      <c r="I109" s="6" t="s">
        <v>1440</v>
      </c>
      <c r="J109" s="6" t="s">
        <v>1245</v>
      </c>
      <c r="K109" s="6" t="s">
        <v>1240</v>
      </c>
      <c r="L109" s="7" t="str">
        <f t="shared" si="1"/>
        <v>OK</v>
      </c>
    </row>
    <row r="110">
      <c r="A110" s="2" t="s">
        <v>1223</v>
      </c>
      <c r="B110" s="9">
        <v>45809.0</v>
      </c>
      <c r="C110" s="10">
        <v>46174.0</v>
      </c>
      <c r="D110" s="6" t="s">
        <v>1440</v>
      </c>
      <c r="E110" s="6" t="s">
        <v>1465</v>
      </c>
      <c r="F110" s="6" t="s">
        <v>1466</v>
      </c>
      <c r="G110" s="7">
        <v>41822.76</v>
      </c>
      <c r="H110" s="2">
        <v>41822.76</v>
      </c>
      <c r="I110" s="6" t="s">
        <v>1440</v>
      </c>
      <c r="J110" s="6" t="s">
        <v>1245</v>
      </c>
      <c r="K110" s="6" t="s">
        <v>1240</v>
      </c>
      <c r="L110" s="7" t="str">
        <f t="shared" si="1"/>
        <v>OK</v>
      </c>
    </row>
    <row r="111">
      <c r="A111" s="2" t="s">
        <v>1223</v>
      </c>
      <c r="B111" s="9">
        <v>45809.0</v>
      </c>
      <c r="C111" s="10">
        <v>46204.0</v>
      </c>
      <c r="D111" s="6" t="s">
        <v>1440</v>
      </c>
      <c r="E111" s="6" t="s">
        <v>1467</v>
      </c>
      <c r="F111" s="6" t="s">
        <v>1468</v>
      </c>
      <c r="G111" s="7">
        <v>38020.69</v>
      </c>
      <c r="H111" s="2">
        <v>38020.69</v>
      </c>
      <c r="I111" s="6" t="s">
        <v>1440</v>
      </c>
      <c r="J111" s="6" t="s">
        <v>1245</v>
      </c>
      <c r="K111" s="6" t="s">
        <v>1240</v>
      </c>
      <c r="L111" s="7" t="str">
        <f t="shared" si="1"/>
        <v>OK</v>
      </c>
    </row>
    <row r="112">
      <c r="A112" s="2" t="s">
        <v>1223</v>
      </c>
      <c r="B112" s="9">
        <v>45809.0</v>
      </c>
      <c r="C112" s="10">
        <v>46235.0</v>
      </c>
      <c r="D112" s="6" t="s">
        <v>1440</v>
      </c>
      <c r="E112" s="6" t="s">
        <v>1469</v>
      </c>
      <c r="F112" s="6" t="s">
        <v>1470</v>
      </c>
      <c r="G112" s="7">
        <v>34218.62</v>
      </c>
      <c r="H112" s="2">
        <v>34218.62</v>
      </c>
      <c r="I112" s="6" t="s">
        <v>1440</v>
      </c>
      <c r="J112" s="6" t="s">
        <v>1245</v>
      </c>
      <c r="K112" s="6" t="s">
        <v>1240</v>
      </c>
      <c r="L112" s="7" t="str">
        <f t="shared" si="1"/>
        <v>OK</v>
      </c>
    </row>
    <row r="113">
      <c r="A113" s="2" t="s">
        <v>1223</v>
      </c>
      <c r="B113" s="9">
        <v>45809.0</v>
      </c>
      <c r="C113" s="10">
        <v>46266.0</v>
      </c>
      <c r="D113" s="6" t="s">
        <v>1440</v>
      </c>
      <c r="E113" s="6" t="s">
        <v>1471</v>
      </c>
      <c r="F113" s="6" t="s">
        <v>1472</v>
      </c>
      <c r="G113" s="7">
        <v>30416.55</v>
      </c>
      <c r="H113" s="2">
        <v>30416.55</v>
      </c>
      <c r="I113" s="6" t="s">
        <v>1440</v>
      </c>
      <c r="J113" s="6" t="s">
        <v>1245</v>
      </c>
      <c r="K113" s="6" t="s">
        <v>1240</v>
      </c>
      <c r="L113" s="7" t="str">
        <f t="shared" si="1"/>
        <v>OK</v>
      </c>
    </row>
    <row r="114">
      <c r="A114" s="2" t="s">
        <v>1223</v>
      </c>
      <c r="B114" s="9">
        <v>45809.0</v>
      </c>
      <c r="C114" s="10">
        <v>46296.0</v>
      </c>
      <c r="D114" s="6" t="s">
        <v>1440</v>
      </c>
      <c r="E114" s="6" t="s">
        <v>1473</v>
      </c>
      <c r="F114" s="6" t="s">
        <v>1474</v>
      </c>
      <c r="G114" s="7">
        <v>26614.48</v>
      </c>
      <c r="H114" s="2">
        <v>26614.48</v>
      </c>
      <c r="I114" s="6" t="s">
        <v>1440</v>
      </c>
      <c r="J114" s="6" t="s">
        <v>1245</v>
      </c>
      <c r="K114" s="6" t="s">
        <v>1240</v>
      </c>
      <c r="L114" s="7" t="str">
        <f t="shared" si="1"/>
        <v>OK</v>
      </c>
    </row>
    <row r="115">
      <c r="A115" s="2" t="s">
        <v>1223</v>
      </c>
      <c r="B115" s="9">
        <v>45809.0</v>
      </c>
      <c r="C115" s="10">
        <v>46327.0</v>
      </c>
      <c r="D115" s="6" t="s">
        <v>1440</v>
      </c>
      <c r="E115" s="6" t="s">
        <v>1475</v>
      </c>
      <c r="F115" s="6" t="s">
        <v>1476</v>
      </c>
      <c r="G115" s="7">
        <v>22812.41</v>
      </c>
      <c r="H115" s="2">
        <v>22812.41</v>
      </c>
      <c r="I115" s="6" t="s">
        <v>1440</v>
      </c>
      <c r="J115" s="6" t="s">
        <v>1245</v>
      </c>
      <c r="K115" s="6" t="s">
        <v>1240</v>
      </c>
      <c r="L115" s="7" t="str">
        <f t="shared" si="1"/>
        <v>OK</v>
      </c>
    </row>
    <row r="116">
      <c r="A116" s="2" t="s">
        <v>1223</v>
      </c>
      <c r="B116" s="9">
        <v>45809.0</v>
      </c>
      <c r="C116" s="10">
        <v>46357.0</v>
      </c>
      <c r="D116" s="6" t="s">
        <v>1440</v>
      </c>
      <c r="E116" s="6" t="s">
        <v>1477</v>
      </c>
      <c r="F116" s="6" t="s">
        <v>1478</v>
      </c>
      <c r="G116" s="7">
        <v>19010.34</v>
      </c>
      <c r="H116" s="2">
        <v>19010.34</v>
      </c>
      <c r="I116" s="6" t="s">
        <v>1440</v>
      </c>
      <c r="J116" s="6" t="s">
        <v>1245</v>
      </c>
      <c r="K116" s="6" t="s">
        <v>1240</v>
      </c>
      <c r="L116" s="7" t="str">
        <f t="shared" si="1"/>
        <v>OK</v>
      </c>
    </row>
    <row r="117">
      <c r="A117" s="2" t="s">
        <v>1223</v>
      </c>
      <c r="B117" s="9">
        <v>45809.0</v>
      </c>
      <c r="C117" s="10">
        <v>46388.0</v>
      </c>
      <c r="D117" s="6" t="s">
        <v>1440</v>
      </c>
      <c r="E117" s="6" t="s">
        <v>1479</v>
      </c>
      <c r="F117" s="6" t="s">
        <v>1480</v>
      </c>
      <c r="G117" s="7">
        <v>15208.27</v>
      </c>
      <c r="H117" s="2">
        <v>15208.27</v>
      </c>
      <c r="I117" s="6" t="s">
        <v>1440</v>
      </c>
      <c r="J117" s="6" t="s">
        <v>1245</v>
      </c>
      <c r="K117" s="6" t="s">
        <v>1240</v>
      </c>
      <c r="L117" s="7" t="str">
        <f t="shared" si="1"/>
        <v>OK</v>
      </c>
    </row>
    <row r="118">
      <c r="A118" s="2" t="s">
        <v>1223</v>
      </c>
      <c r="B118" s="9">
        <v>45809.0</v>
      </c>
      <c r="C118" s="10">
        <v>46419.0</v>
      </c>
      <c r="D118" s="6" t="s">
        <v>1440</v>
      </c>
      <c r="E118" s="6" t="s">
        <v>1481</v>
      </c>
      <c r="F118" s="6" t="s">
        <v>1482</v>
      </c>
      <c r="G118" s="7">
        <v>11406.2</v>
      </c>
      <c r="H118" s="2">
        <v>11406.2</v>
      </c>
      <c r="I118" s="6" t="s">
        <v>1440</v>
      </c>
      <c r="J118" s="6" t="s">
        <v>1245</v>
      </c>
      <c r="K118" s="6" t="s">
        <v>1240</v>
      </c>
      <c r="L118" s="7" t="str">
        <f t="shared" si="1"/>
        <v>OK</v>
      </c>
    </row>
    <row r="119">
      <c r="A119" s="2" t="s">
        <v>1223</v>
      </c>
      <c r="B119" s="9">
        <v>45809.0</v>
      </c>
      <c r="C119" s="10">
        <v>46447.0</v>
      </c>
      <c r="D119" s="6" t="s">
        <v>1440</v>
      </c>
      <c r="E119" s="6" t="s">
        <v>1483</v>
      </c>
      <c r="F119" s="6" t="s">
        <v>1484</v>
      </c>
      <c r="G119" s="7">
        <v>7604.13</v>
      </c>
      <c r="H119" s="2">
        <v>7604.13</v>
      </c>
      <c r="I119" s="6" t="s">
        <v>1440</v>
      </c>
      <c r="J119" s="6" t="s">
        <v>1245</v>
      </c>
      <c r="K119" s="6" t="s">
        <v>1240</v>
      </c>
      <c r="L119" s="7" t="str">
        <f t="shared" si="1"/>
        <v>OK</v>
      </c>
    </row>
    <row r="120">
      <c r="A120" s="2" t="s">
        <v>1223</v>
      </c>
      <c r="B120" s="9">
        <v>45809.0</v>
      </c>
      <c r="C120" s="10">
        <v>46478.0</v>
      </c>
      <c r="D120" s="6" t="s">
        <v>1440</v>
      </c>
      <c r="E120" s="6" t="s">
        <v>1485</v>
      </c>
      <c r="F120" s="6" t="s">
        <v>1486</v>
      </c>
      <c r="G120" s="7">
        <v>3802.06</v>
      </c>
      <c r="H120" s="2">
        <v>3802.06</v>
      </c>
      <c r="I120" s="6" t="s">
        <v>1440</v>
      </c>
      <c r="J120" s="6" t="s">
        <v>1245</v>
      </c>
      <c r="K120" s="6" t="s">
        <v>1240</v>
      </c>
      <c r="L120" s="7" t="str">
        <f t="shared" si="1"/>
        <v>OK</v>
      </c>
    </row>
    <row r="121">
      <c r="A121" s="2" t="s">
        <v>1223</v>
      </c>
      <c r="B121" s="9">
        <v>45809.0</v>
      </c>
      <c r="C121" s="10">
        <v>46508.0</v>
      </c>
      <c r="D121" s="6" t="s">
        <v>1440</v>
      </c>
      <c r="E121" s="6" t="s">
        <v>1487</v>
      </c>
      <c r="F121" s="6" t="s">
        <v>1488</v>
      </c>
      <c r="G121" s="7">
        <v>0.0</v>
      </c>
      <c r="H121" s="2">
        <v>0.0</v>
      </c>
      <c r="I121" s="6" t="s">
        <v>1440</v>
      </c>
      <c r="J121" s="6" t="s">
        <v>1245</v>
      </c>
      <c r="K121" s="6" t="s">
        <v>1240</v>
      </c>
      <c r="L121" s="7" t="str">
        <f t="shared" si="1"/>
        <v>OK</v>
      </c>
    </row>
    <row r="122">
      <c r="B122" s="12"/>
      <c r="C122" s="13"/>
      <c r="G122" s="14"/>
      <c r="H122" s="15"/>
    </row>
    <row r="123">
      <c r="B123" s="12"/>
      <c r="C123" s="13"/>
      <c r="G123" s="14"/>
      <c r="H123" s="15"/>
    </row>
    <row r="124">
      <c r="B124" s="12"/>
      <c r="C124" s="13"/>
      <c r="G124" s="14"/>
      <c r="H124" s="15"/>
    </row>
    <row r="125">
      <c r="B125" s="12"/>
      <c r="C125" s="13"/>
      <c r="G125" s="14"/>
      <c r="H125" s="15"/>
    </row>
    <row r="126">
      <c r="B126" s="12"/>
      <c r="C126" s="13"/>
      <c r="G126" s="14"/>
      <c r="H126" s="15"/>
    </row>
    <row r="127">
      <c r="B127" s="12"/>
      <c r="C127" s="13"/>
      <c r="G127" s="14"/>
      <c r="H127" s="15"/>
    </row>
    <row r="128">
      <c r="B128" s="12"/>
      <c r="C128" s="13"/>
      <c r="G128" s="14"/>
      <c r="H128" s="15"/>
    </row>
    <row r="129">
      <c r="B129" s="12"/>
      <c r="C129" s="13"/>
      <c r="G129" s="14"/>
      <c r="H129" s="15"/>
    </row>
    <row r="130">
      <c r="B130" s="12"/>
      <c r="C130" s="13"/>
      <c r="G130" s="14"/>
      <c r="H130" s="15"/>
    </row>
    <row r="131">
      <c r="B131" s="12"/>
      <c r="C131" s="13"/>
      <c r="G131" s="14"/>
      <c r="H131" s="15"/>
    </row>
    <row r="132">
      <c r="B132" s="12"/>
      <c r="C132" s="13"/>
      <c r="G132" s="14"/>
      <c r="H132" s="15"/>
    </row>
    <row r="133">
      <c r="B133" s="12"/>
      <c r="C133" s="13"/>
      <c r="G133" s="14"/>
      <c r="H133" s="15"/>
    </row>
    <row r="134">
      <c r="B134" s="12"/>
      <c r="C134" s="13"/>
      <c r="G134" s="14"/>
      <c r="H134" s="15"/>
    </row>
    <row r="135">
      <c r="B135" s="12"/>
      <c r="C135" s="13"/>
      <c r="G135" s="14"/>
      <c r="H135" s="15"/>
    </row>
    <row r="136">
      <c r="B136" s="12"/>
      <c r="C136" s="13"/>
      <c r="G136" s="14"/>
      <c r="H136" s="15"/>
    </row>
    <row r="137">
      <c r="B137" s="12"/>
      <c r="C137" s="13"/>
      <c r="G137" s="14"/>
      <c r="H137" s="15"/>
    </row>
    <row r="138">
      <c r="B138" s="12"/>
      <c r="C138" s="13"/>
      <c r="G138" s="14"/>
      <c r="H138" s="15"/>
    </row>
    <row r="139">
      <c r="B139" s="12"/>
      <c r="C139" s="13"/>
      <c r="G139" s="14"/>
      <c r="H139" s="15"/>
    </row>
    <row r="140">
      <c r="B140" s="12"/>
      <c r="C140" s="13"/>
      <c r="G140" s="14"/>
      <c r="H140" s="15"/>
    </row>
    <row r="141">
      <c r="B141" s="12"/>
      <c r="C141" s="13"/>
      <c r="G141" s="14"/>
      <c r="H141" s="15"/>
    </row>
    <row r="142">
      <c r="B142" s="12"/>
      <c r="C142" s="13"/>
      <c r="G142" s="14"/>
      <c r="H142" s="15"/>
    </row>
    <row r="143">
      <c r="B143" s="12"/>
      <c r="C143" s="13"/>
      <c r="G143" s="14"/>
      <c r="H143" s="15"/>
    </row>
    <row r="144">
      <c r="B144" s="12"/>
      <c r="C144" s="13"/>
      <c r="G144" s="14"/>
      <c r="H144" s="15"/>
    </row>
    <row r="145">
      <c r="B145" s="12"/>
      <c r="C145" s="13"/>
      <c r="G145" s="14"/>
      <c r="H145" s="15"/>
    </row>
    <row r="146">
      <c r="B146" s="12"/>
      <c r="C146" s="13"/>
      <c r="G146" s="14"/>
      <c r="H146" s="15"/>
    </row>
    <row r="147">
      <c r="B147" s="12"/>
      <c r="C147" s="13"/>
      <c r="G147" s="14"/>
      <c r="H147" s="15"/>
    </row>
    <row r="148">
      <c r="B148" s="12"/>
      <c r="C148" s="13"/>
      <c r="G148" s="14"/>
      <c r="H148" s="15"/>
    </row>
    <row r="149">
      <c r="B149" s="12"/>
      <c r="C149" s="13"/>
      <c r="G149" s="14"/>
      <c r="H149" s="15"/>
    </row>
    <row r="150">
      <c r="B150" s="12"/>
      <c r="C150" s="13"/>
      <c r="G150" s="14"/>
      <c r="H150" s="15"/>
    </row>
    <row r="151">
      <c r="B151" s="12"/>
      <c r="C151" s="13"/>
      <c r="G151" s="14"/>
      <c r="H151" s="15"/>
    </row>
    <row r="152">
      <c r="B152" s="12"/>
      <c r="C152" s="13"/>
      <c r="G152" s="14"/>
      <c r="H152" s="15"/>
    </row>
    <row r="153">
      <c r="B153" s="12"/>
      <c r="C153" s="13"/>
      <c r="G153" s="14"/>
      <c r="H153" s="15"/>
    </row>
    <row r="154">
      <c r="B154" s="12"/>
      <c r="C154" s="13"/>
      <c r="G154" s="14"/>
      <c r="H154" s="15"/>
    </row>
    <row r="155">
      <c r="B155" s="12"/>
      <c r="C155" s="13"/>
      <c r="G155" s="14"/>
      <c r="H155" s="15"/>
    </row>
    <row r="156">
      <c r="B156" s="12"/>
      <c r="C156" s="13"/>
      <c r="G156" s="14"/>
      <c r="H156" s="15"/>
    </row>
    <row r="157">
      <c r="B157" s="12"/>
      <c r="C157" s="13"/>
      <c r="G157" s="14"/>
      <c r="H157" s="15"/>
    </row>
    <row r="158">
      <c r="B158" s="12"/>
      <c r="C158" s="13"/>
      <c r="G158" s="14"/>
      <c r="H158" s="15"/>
    </row>
    <row r="159">
      <c r="B159" s="12"/>
      <c r="C159" s="13"/>
      <c r="G159" s="14"/>
      <c r="H159" s="15"/>
    </row>
    <row r="160">
      <c r="B160" s="12"/>
      <c r="C160" s="13"/>
      <c r="G160" s="14"/>
      <c r="H160" s="15"/>
    </row>
    <row r="161">
      <c r="B161" s="12"/>
      <c r="C161" s="13"/>
      <c r="G161" s="14"/>
      <c r="H161" s="15"/>
    </row>
    <row r="162">
      <c r="B162" s="12"/>
      <c r="C162" s="13"/>
      <c r="G162" s="14"/>
      <c r="H162" s="15"/>
    </row>
    <row r="163">
      <c r="B163" s="12"/>
      <c r="C163" s="13"/>
      <c r="G163" s="14"/>
      <c r="H163" s="15"/>
    </row>
    <row r="164">
      <c r="B164" s="12"/>
      <c r="C164" s="13"/>
      <c r="G164" s="14"/>
      <c r="H164" s="15"/>
    </row>
    <row r="165">
      <c r="B165" s="12"/>
      <c r="C165" s="13"/>
      <c r="G165" s="14"/>
      <c r="H165" s="15"/>
    </row>
    <row r="166">
      <c r="B166" s="12"/>
      <c r="C166" s="13"/>
      <c r="G166" s="14"/>
      <c r="H166" s="15"/>
    </row>
    <row r="167">
      <c r="B167" s="12"/>
      <c r="C167" s="13"/>
      <c r="G167" s="14"/>
      <c r="H167" s="15"/>
    </row>
    <row r="168">
      <c r="B168" s="12"/>
      <c r="C168" s="13"/>
      <c r="G168" s="14"/>
      <c r="H168" s="15"/>
    </row>
    <row r="169">
      <c r="B169" s="12"/>
      <c r="C169" s="13"/>
      <c r="G169" s="14"/>
      <c r="H169" s="15"/>
    </row>
    <row r="170">
      <c r="B170" s="12"/>
      <c r="C170" s="13"/>
      <c r="G170" s="14"/>
      <c r="H170" s="15"/>
    </row>
    <row r="171">
      <c r="B171" s="12"/>
      <c r="C171" s="13"/>
      <c r="G171" s="14"/>
      <c r="H171" s="15"/>
    </row>
    <row r="172">
      <c r="B172" s="12"/>
      <c r="C172" s="13"/>
      <c r="G172" s="14"/>
      <c r="H172" s="15"/>
    </row>
    <row r="173">
      <c r="B173" s="12"/>
      <c r="C173" s="13"/>
      <c r="G173" s="14"/>
      <c r="H173" s="15"/>
    </row>
    <row r="174">
      <c r="B174" s="12"/>
      <c r="C174" s="13"/>
      <c r="G174" s="14"/>
      <c r="H174" s="15"/>
    </row>
    <row r="175">
      <c r="B175" s="12"/>
      <c r="C175" s="13"/>
      <c r="G175" s="14"/>
      <c r="H175" s="15"/>
    </row>
    <row r="176">
      <c r="B176" s="12"/>
      <c r="C176" s="13"/>
      <c r="G176" s="14"/>
      <c r="H176" s="15"/>
    </row>
    <row r="177">
      <c r="B177" s="12"/>
      <c r="C177" s="13"/>
      <c r="G177" s="14"/>
      <c r="H177" s="15"/>
    </row>
    <row r="178">
      <c r="B178" s="12"/>
      <c r="C178" s="13"/>
      <c r="G178" s="14"/>
      <c r="H178" s="15"/>
    </row>
    <row r="179">
      <c r="B179" s="12"/>
      <c r="C179" s="13"/>
      <c r="G179" s="14"/>
      <c r="H179" s="15"/>
    </row>
    <row r="180">
      <c r="B180" s="12"/>
      <c r="C180" s="13"/>
      <c r="G180" s="14"/>
      <c r="H180" s="15"/>
    </row>
    <row r="181">
      <c r="B181" s="12"/>
      <c r="C181" s="13"/>
      <c r="G181" s="14"/>
      <c r="H181" s="15"/>
    </row>
    <row r="182">
      <c r="B182" s="12"/>
      <c r="C182" s="13"/>
      <c r="G182" s="14"/>
      <c r="H182" s="15"/>
    </row>
    <row r="183">
      <c r="B183" s="12"/>
      <c r="C183" s="13"/>
      <c r="G183" s="14"/>
      <c r="H183" s="15"/>
    </row>
    <row r="184">
      <c r="B184" s="12"/>
      <c r="C184" s="13"/>
      <c r="G184" s="14"/>
      <c r="H184" s="15"/>
    </row>
    <row r="185">
      <c r="B185" s="12"/>
      <c r="C185" s="13"/>
      <c r="G185" s="14"/>
      <c r="H185" s="15"/>
    </row>
    <row r="186">
      <c r="B186" s="12"/>
      <c r="C186" s="13"/>
      <c r="G186" s="14"/>
      <c r="H186" s="15"/>
    </row>
    <row r="187">
      <c r="B187" s="12"/>
      <c r="C187" s="13"/>
      <c r="G187" s="14"/>
      <c r="H187" s="15"/>
    </row>
    <row r="188">
      <c r="B188" s="12"/>
      <c r="C188" s="13"/>
      <c r="G188" s="14"/>
      <c r="H188" s="15"/>
    </row>
    <row r="189">
      <c r="B189" s="12"/>
      <c r="C189" s="13"/>
      <c r="G189" s="14"/>
      <c r="H189" s="15"/>
    </row>
    <row r="190">
      <c r="B190" s="12"/>
      <c r="C190" s="13"/>
      <c r="G190" s="14"/>
      <c r="H190" s="15"/>
    </row>
    <row r="191">
      <c r="B191" s="12"/>
      <c r="C191" s="13"/>
      <c r="G191" s="14"/>
      <c r="H191" s="15"/>
    </row>
    <row r="192">
      <c r="B192" s="12"/>
      <c r="C192" s="13"/>
      <c r="G192" s="14"/>
      <c r="H192" s="15"/>
    </row>
    <row r="193">
      <c r="B193" s="12"/>
      <c r="C193" s="13"/>
      <c r="G193" s="14"/>
      <c r="H193" s="15"/>
    </row>
    <row r="194">
      <c r="B194" s="12"/>
      <c r="C194" s="13"/>
      <c r="G194" s="14"/>
      <c r="H194" s="15"/>
    </row>
    <row r="195">
      <c r="B195" s="12"/>
      <c r="C195" s="13"/>
      <c r="G195" s="14"/>
      <c r="H195" s="15"/>
    </row>
    <row r="196">
      <c r="B196" s="12"/>
      <c r="C196" s="13"/>
      <c r="G196" s="14"/>
      <c r="H196" s="15"/>
    </row>
    <row r="197">
      <c r="B197" s="12"/>
      <c r="C197" s="13"/>
      <c r="G197" s="14"/>
      <c r="H197" s="15"/>
    </row>
    <row r="198">
      <c r="B198" s="12"/>
      <c r="C198" s="13"/>
      <c r="G198" s="14"/>
      <c r="H198" s="15"/>
    </row>
    <row r="199">
      <c r="B199" s="12"/>
      <c r="C199" s="13"/>
      <c r="G199" s="14"/>
      <c r="H199" s="15"/>
    </row>
    <row r="200">
      <c r="B200" s="12"/>
      <c r="C200" s="13"/>
      <c r="G200" s="14"/>
      <c r="H200" s="15"/>
    </row>
    <row r="201">
      <c r="B201" s="12"/>
      <c r="C201" s="13"/>
      <c r="G201" s="14"/>
      <c r="H201" s="15"/>
    </row>
    <row r="202">
      <c r="B202" s="12"/>
      <c r="C202" s="13"/>
      <c r="G202" s="14"/>
      <c r="H202" s="15"/>
    </row>
    <row r="203">
      <c r="B203" s="12"/>
      <c r="C203" s="13"/>
      <c r="G203" s="14"/>
      <c r="H203" s="15"/>
    </row>
    <row r="204">
      <c r="B204" s="12"/>
      <c r="C204" s="13"/>
      <c r="G204" s="14"/>
      <c r="H204" s="15"/>
    </row>
    <row r="205">
      <c r="B205" s="12"/>
      <c r="C205" s="13"/>
      <c r="G205" s="14"/>
      <c r="H205" s="15"/>
    </row>
    <row r="206">
      <c r="B206" s="12"/>
      <c r="C206" s="13"/>
      <c r="G206" s="14"/>
      <c r="H206" s="15"/>
    </row>
    <row r="207">
      <c r="B207" s="12"/>
      <c r="C207" s="13"/>
      <c r="G207" s="14"/>
      <c r="H207" s="15"/>
    </row>
    <row r="208">
      <c r="B208" s="12"/>
      <c r="C208" s="13"/>
      <c r="G208" s="14"/>
      <c r="H208" s="15"/>
    </row>
    <row r="209">
      <c r="B209" s="12"/>
      <c r="C209" s="13"/>
      <c r="G209" s="14"/>
      <c r="H209" s="15"/>
    </row>
    <row r="210">
      <c r="B210" s="12"/>
      <c r="C210" s="13"/>
      <c r="G210" s="14"/>
      <c r="H210" s="15"/>
    </row>
    <row r="211">
      <c r="B211" s="12"/>
      <c r="C211" s="13"/>
      <c r="G211" s="14"/>
      <c r="H211" s="15"/>
    </row>
    <row r="212">
      <c r="B212" s="12"/>
      <c r="C212" s="13"/>
      <c r="G212" s="14"/>
      <c r="H212" s="15"/>
    </row>
    <row r="213">
      <c r="B213" s="12"/>
      <c r="C213" s="13"/>
      <c r="G213" s="14"/>
      <c r="H213" s="15"/>
    </row>
    <row r="214">
      <c r="B214" s="12"/>
      <c r="C214" s="13"/>
      <c r="G214" s="14"/>
      <c r="H214" s="15"/>
    </row>
    <row r="215">
      <c r="B215" s="12"/>
      <c r="C215" s="13"/>
      <c r="G215" s="14"/>
      <c r="H215" s="15"/>
    </row>
    <row r="216">
      <c r="B216" s="12"/>
      <c r="C216" s="13"/>
      <c r="G216" s="14"/>
      <c r="H216" s="15"/>
    </row>
    <row r="217">
      <c r="B217" s="12"/>
      <c r="C217" s="13"/>
      <c r="G217" s="14"/>
      <c r="H217" s="15"/>
    </row>
    <row r="218">
      <c r="B218" s="12"/>
      <c r="C218" s="13"/>
      <c r="G218" s="14"/>
      <c r="H218" s="15"/>
    </row>
    <row r="219">
      <c r="B219" s="12"/>
      <c r="C219" s="13"/>
      <c r="G219" s="14"/>
      <c r="H219" s="15"/>
    </row>
    <row r="220">
      <c r="B220" s="12"/>
      <c r="C220" s="13"/>
      <c r="G220" s="14"/>
      <c r="H220" s="15"/>
    </row>
    <row r="221">
      <c r="B221" s="12"/>
      <c r="C221" s="13"/>
      <c r="G221" s="14"/>
      <c r="H221" s="15"/>
    </row>
    <row r="222">
      <c r="B222" s="12"/>
      <c r="C222" s="13"/>
      <c r="G222" s="14"/>
      <c r="H222" s="15"/>
    </row>
    <row r="223">
      <c r="B223" s="12"/>
      <c r="C223" s="13"/>
      <c r="G223" s="14"/>
      <c r="H223" s="15"/>
    </row>
    <row r="224">
      <c r="B224" s="12"/>
      <c r="C224" s="13"/>
      <c r="G224" s="14"/>
      <c r="H224" s="15"/>
    </row>
    <row r="225">
      <c r="B225" s="12"/>
      <c r="C225" s="13"/>
      <c r="G225" s="14"/>
      <c r="H225" s="15"/>
    </row>
    <row r="226">
      <c r="B226" s="12"/>
      <c r="C226" s="13"/>
      <c r="G226" s="14"/>
      <c r="H226" s="15"/>
    </row>
    <row r="227">
      <c r="B227" s="12"/>
      <c r="C227" s="13"/>
      <c r="G227" s="14"/>
      <c r="H227" s="15"/>
    </row>
    <row r="228">
      <c r="B228" s="12"/>
      <c r="C228" s="13"/>
      <c r="G228" s="14"/>
      <c r="H228" s="15"/>
    </row>
    <row r="229">
      <c r="B229" s="12"/>
      <c r="C229" s="13"/>
      <c r="G229" s="14"/>
      <c r="H229" s="15"/>
    </row>
    <row r="230">
      <c r="B230" s="12"/>
      <c r="C230" s="13"/>
      <c r="G230" s="14"/>
      <c r="H230" s="15"/>
    </row>
    <row r="231">
      <c r="B231" s="12"/>
      <c r="C231" s="13"/>
      <c r="G231" s="14"/>
      <c r="H231" s="15"/>
    </row>
    <row r="232">
      <c r="B232" s="12"/>
      <c r="C232" s="13"/>
      <c r="G232" s="14"/>
      <c r="H232" s="15"/>
    </row>
    <row r="233">
      <c r="B233" s="12"/>
      <c r="C233" s="13"/>
      <c r="G233" s="14"/>
      <c r="H233" s="15"/>
    </row>
    <row r="234">
      <c r="B234" s="12"/>
      <c r="C234" s="13"/>
      <c r="G234" s="14"/>
      <c r="H234" s="15"/>
    </row>
    <row r="235">
      <c r="B235" s="12"/>
      <c r="C235" s="13"/>
      <c r="G235" s="14"/>
      <c r="H235" s="15"/>
    </row>
    <row r="236">
      <c r="B236" s="12"/>
      <c r="C236" s="13"/>
      <c r="G236" s="14"/>
      <c r="H236" s="15"/>
    </row>
    <row r="237">
      <c r="B237" s="12"/>
      <c r="C237" s="13"/>
      <c r="G237" s="14"/>
      <c r="H237" s="15"/>
    </row>
    <row r="238">
      <c r="B238" s="12"/>
      <c r="C238" s="13"/>
      <c r="G238" s="14"/>
      <c r="H238" s="15"/>
    </row>
    <row r="239">
      <c r="B239" s="12"/>
      <c r="C239" s="13"/>
      <c r="G239" s="14"/>
      <c r="H239" s="15"/>
    </row>
    <row r="240">
      <c r="B240" s="12"/>
      <c r="C240" s="13"/>
      <c r="G240" s="14"/>
      <c r="H240" s="15"/>
    </row>
    <row r="241">
      <c r="B241" s="12"/>
      <c r="C241" s="13"/>
      <c r="G241" s="14"/>
      <c r="H241" s="15"/>
    </row>
    <row r="242">
      <c r="B242" s="12"/>
      <c r="C242" s="13"/>
      <c r="G242" s="14"/>
      <c r="H242" s="15"/>
    </row>
    <row r="243">
      <c r="B243" s="12"/>
      <c r="C243" s="13"/>
      <c r="G243" s="14"/>
      <c r="H243" s="15"/>
    </row>
    <row r="244">
      <c r="B244" s="12"/>
      <c r="C244" s="13"/>
      <c r="G244" s="14"/>
      <c r="H244" s="15"/>
    </row>
    <row r="245">
      <c r="B245" s="12"/>
      <c r="C245" s="13"/>
      <c r="G245" s="14"/>
      <c r="H245" s="15"/>
    </row>
    <row r="246">
      <c r="B246" s="12"/>
      <c r="C246" s="13"/>
      <c r="G246" s="14"/>
      <c r="H246" s="15"/>
    </row>
    <row r="247">
      <c r="B247" s="12"/>
      <c r="C247" s="13"/>
      <c r="G247" s="14"/>
      <c r="H247" s="15"/>
    </row>
    <row r="248">
      <c r="B248" s="12"/>
      <c r="C248" s="13"/>
      <c r="G248" s="14"/>
      <c r="H248" s="15"/>
    </row>
    <row r="249">
      <c r="B249" s="12"/>
      <c r="C249" s="13"/>
      <c r="G249" s="14"/>
      <c r="H249" s="15"/>
    </row>
    <row r="250">
      <c r="B250" s="12"/>
      <c r="C250" s="13"/>
      <c r="G250" s="14"/>
      <c r="H250" s="15"/>
    </row>
    <row r="251">
      <c r="B251" s="12"/>
      <c r="C251" s="13"/>
      <c r="G251" s="14"/>
      <c r="H251" s="15"/>
    </row>
    <row r="252">
      <c r="B252" s="12"/>
      <c r="C252" s="13"/>
      <c r="G252" s="14"/>
      <c r="H252" s="15"/>
    </row>
    <row r="253">
      <c r="B253" s="12"/>
      <c r="C253" s="13"/>
      <c r="G253" s="14"/>
      <c r="H253" s="15"/>
    </row>
    <row r="254">
      <c r="B254" s="12"/>
      <c r="C254" s="13"/>
      <c r="G254" s="14"/>
      <c r="H254" s="15"/>
    </row>
    <row r="255">
      <c r="B255" s="12"/>
      <c r="C255" s="13"/>
      <c r="G255" s="14"/>
      <c r="H255" s="15"/>
    </row>
    <row r="256">
      <c r="B256" s="12"/>
      <c r="C256" s="13"/>
      <c r="G256" s="14"/>
      <c r="H256" s="15"/>
    </row>
    <row r="257">
      <c r="B257" s="12"/>
      <c r="C257" s="13"/>
      <c r="G257" s="14"/>
      <c r="H257" s="15"/>
    </row>
    <row r="258">
      <c r="B258" s="12"/>
      <c r="C258" s="13"/>
      <c r="G258" s="14"/>
      <c r="H258" s="15"/>
    </row>
    <row r="259">
      <c r="B259" s="12"/>
      <c r="C259" s="13"/>
      <c r="G259" s="14"/>
      <c r="H259" s="15"/>
    </row>
    <row r="260">
      <c r="B260" s="12"/>
      <c r="C260" s="13"/>
      <c r="G260" s="14"/>
      <c r="H260" s="15"/>
    </row>
    <row r="261">
      <c r="B261" s="12"/>
      <c r="C261" s="13"/>
      <c r="G261" s="14"/>
      <c r="H261" s="15"/>
    </row>
    <row r="262">
      <c r="B262" s="12"/>
      <c r="C262" s="13"/>
      <c r="G262" s="14"/>
      <c r="H262" s="15"/>
    </row>
    <row r="263">
      <c r="B263" s="12"/>
      <c r="C263" s="13"/>
      <c r="G263" s="14"/>
      <c r="H263" s="15"/>
    </row>
    <row r="264">
      <c r="B264" s="12"/>
      <c r="C264" s="13"/>
      <c r="G264" s="14"/>
      <c r="H264" s="15"/>
    </row>
    <row r="265">
      <c r="B265" s="12"/>
      <c r="C265" s="13"/>
      <c r="G265" s="14"/>
      <c r="H265" s="15"/>
    </row>
    <row r="266">
      <c r="B266" s="12"/>
      <c r="C266" s="13"/>
      <c r="G266" s="14"/>
      <c r="H266" s="15"/>
    </row>
    <row r="267">
      <c r="B267" s="12"/>
      <c r="C267" s="13"/>
      <c r="G267" s="14"/>
      <c r="H267" s="15"/>
    </row>
    <row r="268">
      <c r="B268" s="12"/>
      <c r="C268" s="13"/>
      <c r="G268" s="14"/>
      <c r="H268" s="15"/>
    </row>
    <row r="269">
      <c r="B269" s="12"/>
      <c r="C269" s="13"/>
      <c r="G269" s="14"/>
      <c r="H269" s="15"/>
    </row>
    <row r="270">
      <c r="B270" s="12"/>
      <c r="C270" s="13"/>
      <c r="G270" s="14"/>
      <c r="H270" s="15"/>
    </row>
    <row r="271">
      <c r="B271" s="12"/>
      <c r="C271" s="13"/>
      <c r="G271" s="14"/>
      <c r="H271" s="15"/>
    </row>
    <row r="272">
      <c r="B272" s="12"/>
      <c r="C272" s="13"/>
      <c r="G272" s="14"/>
      <c r="H272" s="15"/>
    </row>
    <row r="273">
      <c r="B273" s="12"/>
      <c r="C273" s="13"/>
      <c r="G273" s="14"/>
      <c r="H273" s="15"/>
    </row>
    <row r="274">
      <c r="B274" s="12"/>
      <c r="C274" s="13"/>
      <c r="G274" s="14"/>
      <c r="H274" s="15"/>
    </row>
    <row r="275">
      <c r="B275" s="12"/>
      <c r="C275" s="13"/>
      <c r="G275" s="14"/>
      <c r="H275" s="15"/>
    </row>
    <row r="276">
      <c r="B276" s="12"/>
      <c r="C276" s="13"/>
      <c r="G276" s="14"/>
      <c r="H276" s="15"/>
    </row>
    <row r="277">
      <c r="B277" s="12"/>
      <c r="C277" s="13"/>
      <c r="G277" s="14"/>
      <c r="H277" s="15"/>
    </row>
    <row r="278">
      <c r="B278" s="12"/>
      <c r="C278" s="13"/>
      <c r="G278" s="14"/>
      <c r="H278" s="15"/>
    </row>
    <row r="279">
      <c r="B279" s="12"/>
      <c r="C279" s="13"/>
      <c r="G279" s="14"/>
      <c r="H279" s="15"/>
    </row>
    <row r="280">
      <c r="B280" s="12"/>
      <c r="C280" s="13"/>
      <c r="G280" s="14"/>
      <c r="H280" s="15"/>
    </row>
    <row r="281">
      <c r="B281" s="12"/>
      <c r="C281" s="13"/>
      <c r="G281" s="14"/>
      <c r="H281" s="15"/>
    </row>
    <row r="282">
      <c r="B282" s="12"/>
      <c r="C282" s="13"/>
      <c r="G282" s="14"/>
      <c r="H282" s="15"/>
    </row>
    <row r="283">
      <c r="B283" s="12"/>
      <c r="C283" s="13"/>
      <c r="G283" s="14"/>
      <c r="H283" s="15"/>
    </row>
    <row r="284">
      <c r="B284" s="12"/>
      <c r="C284" s="13"/>
      <c r="G284" s="14"/>
      <c r="H284" s="15"/>
    </row>
    <row r="285">
      <c r="B285" s="12"/>
      <c r="C285" s="13"/>
      <c r="G285" s="14"/>
      <c r="H285" s="15"/>
    </row>
    <row r="286">
      <c r="B286" s="12"/>
      <c r="C286" s="13"/>
      <c r="G286" s="14"/>
      <c r="H286" s="15"/>
    </row>
    <row r="287">
      <c r="B287" s="12"/>
      <c r="C287" s="13"/>
      <c r="G287" s="14"/>
      <c r="H287" s="15"/>
    </row>
    <row r="288">
      <c r="B288" s="12"/>
      <c r="C288" s="13"/>
      <c r="G288" s="14"/>
      <c r="H288" s="15"/>
    </row>
    <row r="289">
      <c r="B289" s="12"/>
      <c r="C289" s="13"/>
      <c r="G289" s="14"/>
      <c r="H289" s="15"/>
    </row>
    <row r="290">
      <c r="B290" s="12"/>
      <c r="C290" s="13"/>
      <c r="G290" s="14"/>
      <c r="H290" s="15"/>
    </row>
    <row r="291">
      <c r="B291" s="12"/>
      <c r="C291" s="13"/>
      <c r="G291" s="14"/>
      <c r="H291" s="15"/>
    </row>
    <row r="292">
      <c r="B292" s="12"/>
      <c r="C292" s="13"/>
      <c r="G292" s="14"/>
      <c r="H292" s="15"/>
    </row>
    <row r="293">
      <c r="B293" s="12"/>
      <c r="C293" s="13"/>
      <c r="G293" s="14"/>
      <c r="H293" s="15"/>
    </row>
    <row r="294">
      <c r="B294" s="12"/>
      <c r="C294" s="13"/>
      <c r="G294" s="14"/>
      <c r="H294" s="15"/>
    </row>
    <row r="295">
      <c r="B295" s="12"/>
      <c r="C295" s="13"/>
      <c r="G295" s="14"/>
      <c r="H295" s="15"/>
    </row>
    <row r="296">
      <c r="B296" s="12"/>
      <c r="C296" s="13"/>
      <c r="G296" s="14"/>
      <c r="H296" s="15"/>
    </row>
    <row r="297">
      <c r="B297" s="12"/>
      <c r="C297" s="13"/>
      <c r="G297" s="14"/>
      <c r="H297" s="15"/>
    </row>
    <row r="298">
      <c r="B298" s="12"/>
      <c r="C298" s="13"/>
      <c r="G298" s="14"/>
      <c r="H298" s="15"/>
    </row>
    <row r="299">
      <c r="B299" s="12"/>
      <c r="C299" s="13"/>
      <c r="G299" s="14"/>
      <c r="H299" s="15"/>
    </row>
    <row r="300">
      <c r="B300" s="12"/>
      <c r="C300" s="13"/>
      <c r="G300" s="14"/>
      <c r="H300" s="15"/>
    </row>
    <row r="301">
      <c r="B301" s="12"/>
      <c r="C301" s="13"/>
      <c r="G301" s="14"/>
      <c r="H301" s="15"/>
    </row>
    <row r="302">
      <c r="B302" s="12"/>
      <c r="C302" s="13"/>
      <c r="G302" s="14"/>
      <c r="H302" s="15"/>
    </row>
    <row r="303">
      <c r="B303" s="12"/>
      <c r="C303" s="13"/>
      <c r="G303" s="14"/>
      <c r="H303" s="15"/>
    </row>
    <row r="304">
      <c r="B304" s="12"/>
      <c r="C304" s="13"/>
      <c r="G304" s="14"/>
      <c r="H304" s="15"/>
    </row>
    <row r="305">
      <c r="B305" s="12"/>
      <c r="C305" s="13"/>
      <c r="G305" s="14"/>
      <c r="H305" s="15"/>
    </row>
    <row r="306">
      <c r="B306" s="12"/>
      <c r="C306" s="13"/>
      <c r="G306" s="14"/>
      <c r="H306" s="15"/>
    </row>
    <row r="307">
      <c r="B307" s="12"/>
      <c r="C307" s="13"/>
      <c r="G307" s="14"/>
      <c r="H307" s="15"/>
    </row>
    <row r="308">
      <c r="B308" s="12"/>
      <c r="C308" s="13"/>
      <c r="G308" s="14"/>
      <c r="H308" s="15"/>
    </row>
    <row r="309">
      <c r="B309" s="12"/>
      <c r="C309" s="13"/>
      <c r="G309" s="14"/>
      <c r="H309" s="15"/>
    </row>
    <row r="310">
      <c r="B310" s="12"/>
      <c r="C310" s="13"/>
      <c r="G310" s="14"/>
      <c r="H310" s="15"/>
    </row>
    <row r="311">
      <c r="B311" s="12"/>
      <c r="C311" s="13"/>
      <c r="G311" s="14"/>
      <c r="H311" s="15"/>
    </row>
    <row r="312">
      <c r="B312" s="12"/>
      <c r="C312" s="13"/>
      <c r="G312" s="14"/>
      <c r="H312" s="15"/>
    </row>
    <row r="313">
      <c r="B313" s="12"/>
      <c r="C313" s="13"/>
      <c r="G313" s="14"/>
      <c r="H313" s="15"/>
    </row>
    <row r="314">
      <c r="B314" s="12"/>
      <c r="C314" s="13"/>
      <c r="G314" s="14"/>
      <c r="H314" s="15"/>
    </row>
    <row r="315">
      <c r="B315" s="12"/>
      <c r="C315" s="13"/>
      <c r="G315" s="14"/>
      <c r="H315" s="15"/>
    </row>
    <row r="316">
      <c r="B316" s="12"/>
      <c r="C316" s="13"/>
      <c r="G316" s="14"/>
      <c r="H316" s="15"/>
    </row>
    <row r="317">
      <c r="B317" s="12"/>
      <c r="C317" s="13"/>
      <c r="G317" s="14"/>
      <c r="H317" s="15"/>
    </row>
    <row r="318">
      <c r="B318" s="12"/>
      <c r="C318" s="13"/>
      <c r="G318" s="14"/>
      <c r="H318" s="15"/>
    </row>
    <row r="319">
      <c r="B319" s="12"/>
      <c r="C319" s="13"/>
      <c r="G319" s="14"/>
      <c r="H319" s="15"/>
    </row>
    <row r="320">
      <c r="B320" s="12"/>
      <c r="C320" s="13"/>
      <c r="G320" s="14"/>
      <c r="H320" s="15"/>
    </row>
    <row r="321">
      <c r="B321" s="12"/>
      <c r="C321" s="13"/>
      <c r="G321" s="14"/>
      <c r="H321" s="15"/>
    </row>
    <row r="322">
      <c r="B322" s="12"/>
      <c r="C322" s="13"/>
      <c r="G322" s="14"/>
      <c r="H322" s="15"/>
    </row>
    <row r="323">
      <c r="B323" s="12"/>
      <c r="C323" s="13"/>
      <c r="G323" s="14"/>
      <c r="H323" s="15"/>
    </row>
    <row r="324">
      <c r="B324" s="12"/>
      <c r="C324" s="13"/>
      <c r="G324" s="14"/>
      <c r="H324" s="15"/>
    </row>
    <row r="325">
      <c r="B325" s="12"/>
      <c r="C325" s="13"/>
      <c r="G325" s="14"/>
      <c r="H325" s="15"/>
    </row>
    <row r="326">
      <c r="B326" s="12"/>
      <c r="C326" s="13"/>
      <c r="G326" s="14"/>
      <c r="H326" s="15"/>
    </row>
    <row r="327">
      <c r="B327" s="12"/>
      <c r="C327" s="13"/>
      <c r="G327" s="14"/>
      <c r="H327" s="15"/>
    </row>
    <row r="328">
      <c r="B328" s="12"/>
      <c r="C328" s="13"/>
      <c r="G328" s="14"/>
      <c r="H328" s="15"/>
    </row>
    <row r="329">
      <c r="B329" s="12"/>
      <c r="C329" s="13"/>
      <c r="G329" s="14"/>
      <c r="H329" s="15"/>
    </row>
    <row r="330">
      <c r="B330" s="12"/>
      <c r="C330" s="13"/>
      <c r="G330" s="14"/>
      <c r="H330" s="15"/>
    </row>
    <row r="331">
      <c r="B331" s="12"/>
      <c r="C331" s="13"/>
      <c r="G331" s="14"/>
      <c r="H331" s="15"/>
    </row>
    <row r="332">
      <c r="B332" s="12"/>
      <c r="C332" s="13"/>
      <c r="G332" s="14"/>
      <c r="H332" s="15"/>
    </row>
    <row r="333">
      <c r="B333" s="12"/>
      <c r="C333" s="13"/>
      <c r="G333" s="14"/>
      <c r="H333" s="15"/>
    </row>
    <row r="334">
      <c r="B334" s="12"/>
      <c r="C334" s="13"/>
      <c r="G334" s="14"/>
      <c r="H334" s="15"/>
    </row>
    <row r="335">
      <c r="B335" s="12"/>
      <c r="C335" s="13"/>
      <c r="G335" s="14"/>
      <c r="H335" s="15"/>
    </row>
    <row r="336">
      <c r="B336" s="12"/>
      <c r="C336" s="13"/>
      <c r="G336" s="14"/>
      <c r="H336" s="15"/>
    </row>
    <row r="337">
      <c r="B337" s="12"/>
      <c r="C337" s="13"/>
      <c r="G337" s="14"/>
      <c r="H337" s="15"/>
    </row>
    <row r="338">
      <c r="B338" s="12"/>
      <c r="C338" s="13"/>
      <c r="G338" s="14"/>
      <c r="H338" s="15"/>
    </row>
    <row r="339">
      <c r="B339" s="12"/>
      <c r="C339" s="13"/>
      <c r="G339" s="14"/>
      <c r="H339" s="15"/>
    </row>
    <row r="340">
      <c r="B340" s="12"/>
      <c r="C340" s="13"/>
      <c r="G340" s="14"/>
      <c r="H340" s="15"/>
    </row>
    <row r="341">
      <c r="B341" s="12"/>
      <c r="C341" s="13"/>
      <c r="G341" s="14"/>
      <c r="H341" s="15"/>
    </row>
    <row r="342">
      <c r="B342" s="12"/>
      <c r="C342" s="13"/>
      <c r="G342" s="14"/>
      <c r="H342" s="15"/>
    </row>
    <row r="343">
      <c r="B343" s="12"/>
      <c r="C343" s="13"/>
      <c r="G343" s="14"/>
      <c r="H343" s="15"/>
    </row>
    <row r="344">
      <c r="B344" s="12"/>
      <c r="C344" s="13"/>
      <c r="G344" s="14"/>
      <c r="H344" s="15"/>
    </row>
    <row r="345">
      <c r="B345" s="12"/>
      <c r="C345" s="13"/>
      <c r="G345" s="14"/>
      <c r="H345" s="15"/>
    </row>
    <row r="346">
      <c r="B346" s="12"/>
      <c r="C346" s="13"/>
      <c r="G346" s="14"/>
      <c r="H346" s="15"/>
    </row>
    <row r="347">
      <c r="B347" s="12"/>
      <c r="C347" s="13"/>
      <c r="G347" s="14"/>
      <c r="H347" s="15"/>
    </row>
    <row r="348">
      <c r="B348" s="12"/>
      <c r="C348" s="13"/>
      <c r="G348" s="14"/>
      <c r="H348" s="15"/>
    </row>
    <row r="349">
      <c r="B349" s="12"/>
      <c r="C349" s="13"/>
      <c r="G349" s="14"/>
      <c r="H349" s="15"/>
    </row>
    <row r="350">
      <c r="B350" s="12"/>
      <c r="C350" s="13"/>
      <c r="G350" s="14"/>
      <c r="H350" s="15"/>
    </row>
    <row r="351">
      <c r="B351" s="12"/>
      <c r="C351" s="13"/>
      <c r="G351" s="14"/>
      <c r="H351" s="15"/>
    </row>
    <row r="352">
      <c r="B352" s="12"/>
      <c r="C352" s="13"/>
      <c r="G352" s="14"/>
      <c r="H352" s="15"/>
    </row>
    <row r="353">
      <c r="B353" s="12"/>
      <c r="C353" s="13"/>
      <c r="G353" s="14"/>
      <c r="H353" s="15"/>
    </row>
    <row r="354">
      <c r="B354" s="12"/>
      <c r="C354" s="13"/>
      <c r="G354" s="14"/>
      <c r="H354" s="15"/>
    </row>
    <row r="355">
      <c r="B355" s="12"/>
      <c r="C355" s="13"/>
      <c r="G355" s="14"/>
      <c r="H355" s="15"/>
    </row>
    <row r="356">
      <c r="B356" s="12"/>
      <c r="C356" s="13"/>
      <c r="G356" s="14"/>
      <c r="H356" s="15"/>
    </row>
    <row r="357">
      <c r="B357" s="12"/>
      <c r="C357" s="13"/>
      <c r="G357" s="14"/>
      <c r="H357" s="15"/>
    </row>
    <row r="358">
      <c r="B358" s="12"/>
      <c r="C358" s="13"/>
      <c r="G358" s="14"/>
      <c r="H358" s="15"/>
    </row>
    <row r="359">
      <c r="B359" s="12"/>
      <c r="C359" s="13"/>
      <c r="G359" s="14"/>
      <c r="H359" s="15"/>
    </row>
    <row r="360">
      <c r="B360" s="12"/>
      <c r="C360" s="13"/>
      <c r="G360" s="14"/>
      <c r="H360" s="15"/>
    </row>
    <row r="361">
      <c r="B361" s="12"/>
      <c r="C361" s="13"/>
      <c r="G361" s="14"/>
      <c r="H361" s="15"/>
    </row>
    <row r="362">
      <c r="B362" s="12"/>
      <c r="C362" s="13"/>
      <c r="G362" s="14"/>
      <c r="H362" s="15"/>
    </row>
    <row r="363">
      <c r="B363" s="12"/>
      <c r="C363" s="13"/>
      <c r="G363" s="14"/>
      <c r="H363" s="15"/>
    </row>
    <row r="364">
      <c r="B364" s="12"/>
      <c r="C364" s="13"/>
      <c r="G364" s="14"/>
      <c r="H364" s="15"/>
    </row>
    <row r="365">
      <c r="B365" s="12"/>
      <c r="C365" s="13"/>
      <c r="G365" s="14"/>
      <c r="H365" s="15"/>
    </row>
    <row r="366">
      <c r="B366" s="12"/>
      <c r="C366" s="13"/>
      <c r="G366" s="14"/>
      <c r="H366" s="15"/>
    </row>
    <row r="367">
      <c r="B367" s="12"/>
      <c r="C367" s="13"/>
      <c r="G367" s="14"/>
      <c r="H367" s="15"/>
    </row>
    <row r="368">
      <c r="B368" s="12"/>
      <c r="C368" s="13"/>
      <c r="G368" s="14"/>
      <c r="H368" s="15"/>
    </row>
    <row r="369">
      <c r="B369" s="12"/>
      <c r="C369" s="13"/>
      <c r="G369" s="14"/>
      <c r="H369" s="15"/>
    </row>
    <row r="370">
      <c r="B370" s="12"/>
      <c r="C370" s="13"/>
      <c r="G370" s="14"/>
      <c r="H370" s="15"/>
    </row>
    <row r="371">
      <c r="B371" s="12"/>
      <c r="C371" s="13"/>
      <c r="G371" s="14"/>
      <c r="H371" s="15"/>
    </row>
    <row r="372">
      <c r="B372" s="12"/>
      <c r="C372" s="13"/>
      <c r="G372" s="14"/>
      <c r="H372" s="15"/>
    </row>
    <row r="373">
      <c r="B373" s="12"/>
      <c r="C373" s="13"/>
      <c r="G373" s="14"/>
      <c r="H373" s="15"/>
    </row>
    <row r="374">
      <c r="B374" s="12"/>
      <c r="C374" s="13"/>
      <c r="G374" s="14"/>
      <c r="H374" s="15"/>
    </row>
    <row r="375">
      <c r="B375" s="12"/>
      <c r="C375" s="13"/>
      <c r="G375" s="14"/>
      <c r="H375" s="15"/>
    </row>
    <row r="376">
      <c r="B376" s="12"/>
      <c r="C376" s="13"/>
      <c r="G376" s="14"/>
      <c r="H376" s="15"/>
    </row>
    <row r="377">
      <c r="B377" s="12"/>
      <c r="C377" s="13"/>
      <c r="G377" s="14"/>
      <c r="H377" s="15"/>
    </row>
    <row r="378">
      <c r="B378" s="12"/>
      <c r="C378" s="13"/>
      <c r="G378" s="14"/>
      <c r="H378" s="15"/>
    </row>
    <row r="379">
      <c r="B379" s="12"/>
      <c r="C379" s="13"/>
      <c r="G379" s="14"/>
      <c r="H379" s="15"/>
    </row>
    <row r="380">
      <c r="B380" s="12"/>
      <c r="C380" s="13"/>
      <c r="G380" s="14"/>
      <c r="H380" s="15"/>
    </row>
    <row r="381">
      <c r="B381" s="12"/>
      <c r="C381" s="13"/>
      <c r="G381" s="14"/>
      <c r="H381" s="15"/>
    </row>
    <row r="382">
      <c r="B382" s="12"/>
      <c r="C382" s="13"/>
      <c r="G382" s="14"/>
      <c r="H382" s="15"/>
    </row>
    <row r="383">
      <c r="B383" s="12"/>
      <c r="C383" s="13"/>
      <c r="G383" s="14"/>
      <c r="H383" s="15"/>
    </row>
    <row r="384">
      <c r="B384" s="12"/>
      <c r="C384" s="13"/>
      <c r="G384" s="14"/>
      <c r="H384" s="15"/>
    </row>
    <row r="385">
      <c r="B385" s="12"/>
      <c r="C385" s="13"/>
      <c r="G385" s="14"/>
      <c r="H385" s="15"/>
    </row>
    <row r="386">
      <c r="B386" s="12"/>
      <c r="C386" s="13"/>
      <c r="G386" s="14"/>
      <c r="H386" s="15"/>
    </row>
    <row r="387">
      <c r="B387" s="12"/>
      <c r="C387" s="13"/>
      <c r="G387" s="14"/>
      <c r="H387" s="15"/>
    </row>
    <row r="388">
      <c r="B388" s="12"/>
      <c r="C388" s="13"/>
      <c r="G388" s="14"/>
      <c r="H388" s="15"/>
    </row>
    <row r="389">
      <c r="B389" s="12"/>
      <c r="C389" s="13"/>
      <c r="G389" s="14"/>
      <c r="H389" s="15"/>
    </row>
    <row r="390">
      <c r="B390" s="12"/>
      <c r="C390" s="13"/>
      <c r="G390" s="14"/>
      <c r="H390" s="15"/>
    </row>
    <row r="391">
      <c r="B391" s="12"/>
      <c r="C391" s="13"/>
      <c r="G391" s="14"/>
      <c r="H391" s="15"/>
    </row>
    <row r="392">
      <c r="B392" s="12"/>
      <c r="C392" s="13"/>
      <c r="G392" s="14"/>
      <c r="H392" s="15"/>
    </row>
    <row r="393">
      <c r="B393" s="12"/>
      <c r="C393" s="13"/>
      <c r="G393" s="14"/>
      <c r="H393" s="15"/>
    </row>
    <row r="394">
      <c r="B394" s="12"/>
      <c r="C394" s="13"/>
      <c r="G394" s="14"/>
      <c r="H394" s="15"/>
    </row>
    <row r="395">
      <c r="B395" s="12"/>
      <c r="C395" s="13"/>
      <c r="G395" s="14"/>
      <c r="H395" s="15"/>
    </row>
    <row r="396">
      <c r="B396" s="12"/>
      <c r="C396" s="13"/>
      <c r="G396" s="14"/>
      <c r="H396" s="15"/>
    </row>
    <row r="397">
      <c r="B397" s="12"/>
      <c r="C397" s="13"/>
      <c r="G397" s="14"/>
      <c r="H397" s="15"/>
    </row>
    <row r="398">
      <c r="B398" s="12"/>
      <c r="C398" s="13"/>
      <c r="G398" s="14"/>
      <c r="H398" s="15"/>
    </row>
    <row r="399">
      <c r="B399" s="12"/>
      <c r="C399" s="13"/>
      <c r="G399" s="14"/>
      <c r="H399" s="15"/>
    </row>
    <row r="400">
      <c r="B400" s="12"/>
      <c r="C400" s="13"/>
      <c r="G400" s="14"/>
      <c r="H400" s="15"/>
    </row>
    <row r="401">
      <c r="B401" s="12"/>
      <c r="C401" s="13"/>
      <c r="G401" s="14"/>
      <c r="H401" s="15"/>
    </row>
    <row r="402">
      <c r="B402" s="12"/>
      <c r="C402" s="13"/>
      <c r="G402" s="14"/>
      <c r="H402" s="15"/>
    </row>
    <row r="403">
      <c r="B403" s="12"/>
      <c r="C403" s="13"/>
      <c r="G403" s="14"/>
      <c r="H403" s="15"/>
    </row>
    <row r="404">
      <c r="B404" s="12"/>
      <c r="C404" s="13"/>
      <c r="G404" s="14"/>
      <c r="H404" s="15"/>
    </row>
    <row r="405">
      <c r="B405" s="12"/>
      <c r="C405" s="13"/>
      <c r="G405" s="14"/>
      <c r="H405" s="15"/>
    </row>
    <row r="406">
      <c r="B406" s="12"/>
      <c r="C406" s="13"/>
      <c r="G406" s="14"/>
      <c r="H406" s="15"/>
    </row>
    <row r="407">
      <c r="B407" s="12"/>
      <c r="C407" s="13"/>
      <c r="G407" s="14"/>
      <c r="H407" s="15"/>
    </row>
    <row r="408">
      <c r="B408" s="12"/>
      <c r="C408" s="13"/>
      <c r="G408" s="14"/>
      <c r="H408" s="15"/>
    </row>
    <row r="409">
      <c r="B409" s="12"/>
      <c r="C409" s="13"/>
      <c r="G409" s="14"/>
      <c r="H409" s="15"/>
    </row>
    <row r="410">
      <c r="B410" s="12"/>
      <c r="C410" s="13"/>
      <c r="G410" s="14"/>
      <c r="H410" s="15"/>
    </row>
    <row r="411">
      <c r="B411" s="12"/>
      <c r="C411" s="13"/>
      <c r="G411" s="14"/>
      <c r="H411" s="15"/>
    </row>
    <row r="412">
      <c r="B412" s="12"/>
      <c r="C412" s="13"/>
      <c r="G412" s="14"/>
      <c r="H412" s="15"/>
    </row>
    <row r="413">
      <c r="B413" s="12"/>
      <c r="C413" s="13"/>
      <c r="G413" s="14"/>
      <c r="H413" s="15"/>
    </row>
    <row r="414">
      <c r="B414" s="12"/>
      <c r="C414" s="13"/>
      <c r="G414" s="14"/>
      <c r="H414" s="15"/>
    </row>
    <row r="415">
      <c r="B415" s="12"/>
      <c r="C415" s="13"/>
      <c r="G415" s="14"/>
      <c r="H415" s="15"/>
    </row>
    <row r="416">
      <c r="B416" s="12"/>
      <c r="C416" s="13"/>
      <c r="G416" s="14"/>
      <c r="H416" s="15"/>
    </row>
    <row r="417">
      <c r="B417" s="12"/>
      <c r="C417" s="13"/>
      <c r="G417" s="14"/>
      <c r="H417" s="15"/>
    </row>
    <row r="418">
      <c r="B418" s="12"/>
      <c r="C418" s="13"/>
      <c r="G418" s="14"/>
      <c r="H418" s="15"/>
    </row>
    <row r="419">
      <c r="B419" s="12"/>
      <c r="C419" s="13"/>
      <c r="G419" s="14"/>
      <c r="H419" s="15"/>
    </row>
    <row r="420">
      <c r="B420" s="12"/>
      <c r="C420" s="13"/>
      <c r="G420" s="14"/>
      <c r="H420" s="15"/>
    </row>
    <row r="421">
      <c r="B421" s="12"/>
      <c r="C421" s="13"/>
      <c r="G421" s="14"/>
      <c r="H421" s="15"/>
    </row>
    <row r="422">
      <c r="B422" s="12"/>
      <c r="C422" s="13"/>
      <c r="G422" s="14"/>
      <c r="H422" s="15"/>
    </row>
    <row r="423">
      <c r="B423" s="12"/>
      <c r="C423" s="13"/>
      <c r="G423" s="14"/>
      <c r="H423" s="15"/>
    </row>
    <row r="424">
      <c r="B424" s="12"/>
      <c r="C424" s="13"/>
      <c r="G424" s="14"/>
      <c r="H424" s="15"/>
    </row>
    <row r="425">
      <c r="B425" s="12"/>
      <c r="C425" s="13"/>
      <c r="G425" s="14"/>
      <c r="H425" s="15"/>
    </row>
    <row r="426">
      <c r="B426" s="12"/>
      <c r="C426" s="13"/>
      <c r="G426" s="14"/>
      <c r="H426" s="15"/>
    </row>
    <row r="427">
      <c r="B427" s="12"/>
      <c r="C427" s="13"/>
      <c r="G427" s="14"/>
      <c r="H427" s="15"/>
    </row>
    <row r="428">
      <c r="B428" s="12"/>
      <c r="C428" s="13"/>
      <c r="G428" s="14"/>
      <c r="H428" s="15"/>
    </row>
    <row r="429">
      <c r="B429" s="12"/>
      <c r="C429" s="13"/>
      <c r="G429" s="14"/>
      <c r="H429" s="15"/>
    </row>
    <row r="430">
      <c r="B430" s="12"/>
      <c r="C430" s="13"/>
      <c r="G430" s="14"/>
      <c r="H430" s="15"/>
    </row>
    <row r="431">
      <c r="B431" s="12"/>
      <c r="C431" s="13"/>
      <c r="G431" s="14"/>
      <c r="H431" s="15"/>
    </row>
    <row r="432">
      <c r="B432" s="12"/>
      <c r="C432" s="13"/>
      <c r="G432" s="14"/>
      <c r="H432" s="15"/>
    </row>
    <row r="433">
      <c r="B433" s="12"/>
      <c r="C433" s="13"/>
      <c r="G433" s="14"/>
      <c r="H433" s="15"/>
    </row>
    <row r="434">
      <c r="B434" s="12"/>
      <c r="C434" s="13"/>
      <c r="G434" s="14"/>
      <c r="H434" s="15"/>
    </row>
    <row r="435">
      <c r="B435" s="12"/>
      <c r="C435" s="13"/>
      <c r="G435" s="14"/>
      <c r="H435" s="15"/>
    </row>
    <row r="436">
      <c r="B436" s="12"/>
      <c r="C436" s="13"/>
      <c r="G436" s="14"/>
      <c r="H436" s="15"/>
    </row>
    <row r="437">
      <c r="B437" s="12"/>
      <c r="C437" s="13"/>
      <c r="G437" s="14"/>
      <c r="H437" s="15"/>
    </row>
    <row r="438">
      <c r="B438" s="12"/>
      <c r="C438" s="13"/>
      <c r="G438" s="14"/>
      <c r="H438" s="15"/>
    </row>
    <row r="439">
      <c r="B439" s="12"/>
      <c r="C439" s="13"/>
      <c r="G439" s="14"/>
      <c r="H439" s="15"/>
    </row>
    <row r="440">
      <c r="B440" s="12"/>
      <c r="C440" s="13"/>
      <c r="G440" s="14"/>
      <c r="H440" s="15"/>
    </row>
    <row r="441">
      <c r="B441" s="12"/>
      <c r="C441" s="13"/>
      <c r="G441" s="14"/>
      <c r="H441" s="15"/>
    </row>
    <row r="442">
      <c r="B442" s="12"/>
      <c r="C442" s="13"/>
      <c r="G442" s="14"/>
      <c r="H442" s="15"/>
    </row>
    <row r="443">
      <c r="B443" s="12"/>
      <c r="C443" s="13"/>
      <c r="G443" s="14"/>
      <c r="H443" s="15"/>
    </row>
    <row r="444">
      <c r="B444" s="12"/>
      <c r="C444" s="13"/>
      <c r="G444" s="14"/>
      <c r="H444" s="15"/>
    </row>
    <row r="445">
      <c r="B445" s="12"/>
      <c r="C445" s="13"/>
      <c r="G445" s="14"/>
      <c r="H445" s="15"/>
    </row>
    <row r="446">
      <c r="B446" s="12"/>
      <c r="C446" s="13"/>
      <c r="G446" s="14"/>
      <c r="H446" s="15"/>
    </row>
    <row r="447">
      <c r="B447" s="12"/>
      <c r="C447" s="13"/>
      <c r="G447" s="14"/>
      <c r="H447" s="15"/>
    </row>
    <row r="448">
      <c r="B448" s="12"/>
      <c r="C448" s="13"/>
      <c r="G448" s="14"/>
      <c r="H448" s="15"/>
    </row>
    <row r="449">
      <c r="B449" s="12"/>
      <c r="C449" s="13"/>
      <c r="G449" s="14"/>
      <c r="H449" s="15"/>
    </row>
    <row r="450">
      <c r="B450" s="12"/>
      <c r="C450" s="13"/>
      <c r="G450" s="14"/>
      <c r="H450" s="15"/>
    </row>
    <row r="451">
      <c r="B451" s="12"/>
      <c r="C451" s="13"/>
      <c r="G451" s="14"/>
      <c r="H451" s="15"/>
    </row>
    <row r="452">
      <c r="B452" s="12"/>
      <c r="C452" s="13"/>
      <c r="G452" s="14"/>
      <c r="H452" s="15"/>
    </row>
    <row r="453">
      <c r="B453" s="12"/>
      <c r="C453" s="13"/>
      <c r="G453" s="14"/>
      <c r="H453" s="15"/>
    </row>
    <row r="454">
      <c r="B454" s="12"/>
      <c r="C454" s="13"/>
      <c r="G454" s="14"/>
      <c r="H454" s="15"/>
    </row>
    <row r="455">
      <c r="B455" s="12"/>
      <c r="C455" s="13"/>
      <c r="G455" s="14"/>
      <c r="H455" s="15"/>
    </row>
    <row r="456">
      <c r="B456" s="12"/>
      <c r="C456" s="13"/>
      <c r="G456" s="14"/>
      <c r="H456" s="15"/>
    </row>
    <row r="457">
      <c r="B457" s="12"/>
      <c r="C457" s="13"/>
      <c r="G457" s="14"/>
      <c r="H457" s="15"/>
    </row>
    <row r="458">
      <c r="B458" s="12"/>
      <c r="C458" s="13"/>
      <c r="G458" s="14"/>
      <c r="H458" s="15"/>
    </row>
    <row r="459">
      <c r="B459" s="12"/>
      <c r="C459" s="13"/>
      <c r="G459" s="14"/>
      <c r="H459" s="15"/>
    </row>
    <row r="460">
      <c r="B460" s="12"/>
      <c r="C460" s="13"/>
      <c r="G460" s="14"/>
      <c r="H460" s="15"/>
    </row>
    <row r="461">
      <c r="B461" s="12"/>
      <c r="C461" s="13"/>
      <c r="G461" s="14"/>
      <c r="H461" s="15"/>
    </row>
    <row r="462">
      <c r="B462" s="12"/>
      <c r="C462" s="13"/>
      <c r="G462" s="14"/>
      <c r="H462" s="15"/>
    </row>
    <row r="463">
      <c r="B463" s="12"/>
      <c r="C463" s="13"/>
      <c r="G463" s="14"/>
      <c r="H463" s="15"/>
    </row>
    <row r="464">
      <c r="B464" s="12"/>
      <c r="C464" s="13"/>
      <c r="G464" s="14"/>
      <c r="H464" s="15"/>
    </row>
    <row r="465">
      <c r="B465" s="12"/>
      <c r="C465" s="13"/>
      <c r="G465" s="14"/>
      <c r="H465" s="15"/>
    </row>
    <row r="466">
      <c r="B466" s="12"/>
      <c r="C466" s="13"/>
      <c r="G466" s="14"/>
      <c r="H466" s="15"/>
    </row>
    <row r="467">
      <c r="B467" s="12"/>
      <c r="C467" s="13"/>
      <c r="G467" s="14"/>
      <c r="H467" s="15"/>
    </row>
    <row r="468">
      <c r="B468" s="12"/>
      <c r="C468" s="13"/>
      <c r="G468" s="14"/>
      <c r="H468" s="15"/>
    </row>
    <row r="469">
      <c r="B469" s="12"/>
      <c r="C469" s="13"/>
      <c r="G469" s="14"/>
      <c r="H469" s="15"/>
    </row>
    <row r="470">
      <c r="B470" s="12"/>
      <c r="C470" s="13"/>
      <c r="G470" s="14"/>
      <c r="H470" s="15"/>
    </row>
    <row r="471">
      <c r="B471" s="12"/>
      <c r="C471" s="13"/>
      <c r="G471" s="14"/>
      <c r="H471" s="15"/>
    </row>
    <row r="472">
      <c r="B472" s="12"/>
      <c r="C472" s="13"/>
      <c r="G472" s="14"/>
      <c r="H472" s="15"/>
    </row>
    <row r="473">
      <c r="B473" s="12"/>
      <c r="C473" s="13"/>
      <c r="G473" s="14"/>
      <c r="H473" s="15"/>
    </row>
    <row r="474">
      <c r="B474" s="12"/>
      <c r="C474" s="13"/>
      <c r="G474" s="14"/>
      <c r="H474" s="15"/>
    </row>
    <row r="475">
      <c r="B475" s="12"/>
      <c r="C475" s="13"/>
      <c r="G475" s="14"/>
      <c r="H475" s="15"/>
    </row>
    <row r="476">
      <c r="B476" s="12"/>
      <c r="C476" s="13"/>
      <c r="G476" s="14"/>
      <c r="H476" s="15"/>
    </row>
    <row r="477">
      <c r="B477" s="12"/>
      <c r="C477" s="13"/>
      <c r="G477" s="14"/>
      <c r="H477" s="15"/>
    </row>
    <row r="478">
      <c r="B478" s="12"/>
      <c r="C478" s="13"/>
      <c r="G478" s="14"/>
      <c r="H478" s="15"/>
    </row>
    <row r="479">
      <c r="B479" s="12"/>
      <c r="C479" s="13"/>
      <c r="G479" s="14"/>
      <c r="H479" s="15"/>
    </row>
    <row r="480">
      <c r="B480" s="12"/>
      <c r="C480" s="13"/>
      <c r="G480" s="14"/>
      <c r="H480" s="15"/>
    </row>
    <row r="481">
      <c r="B481" s="12"/>
      <c r="C481" s="13"/>
      <c r="G481" s="14"/>
      <c r="H481" s="15"/>
    </row>
    <row r="482">
      <c r="B482" s="12"/>
      <c r="C482" s="13"/>
      <c r="G482" s="14"/>
      <c r="H482" s="15"/>
    </row>
    <row r="483">
      <c r="B483" s="12"/>
      <c r="C483" s="13"/>
      <c r="G483" s="14"/>
      <c r="H483" s="15"/>
    </row>
    <row r="484">
      <c r="B484" s="12"/>
      <c r="C484" s="13"/>
      <c r="G484" s="14"/>
      <c r="H484" s="15"/>
    </row>
    <row r="485">
      <c r="B485" s="12"/>
      <c r="C485" s="13"/>
      <c r="G485" s="14"/>
      <c r="H485" s="15"/>
    </row>
    <row r="486">
      <c r="B486" s="12"/>
      <c r="C486" s="13"/>
      <c r="G486" s="14"/>
      <c r="H486" s="15"/>
    </row>
    <row r="487">
      <c r="B487" s="12"/>
      <c r="C487" s="13"/>
      <c r="G487" s="14"/>
      <c r="H487" s="15"/>
    </row>
    <row r="488">
      <c r="B488" s="12"/>
      <c r="C488" s="13"/>
      <c r="G488" s="14"/>
      <c r="H488" s="15"/>
    </row>
    <row r="489">
      <c r="B489" s="12"/>
      <c r="C489" s="13"/>
      <c r="G489" s="14"/>
      <c r="H489" s="15"/>
    </row>
    <row r="490">
      <c r="B490" s="12"/>
      <c r="C490" s="13"/>
      <c r="G490" s="14"/>
      <c r="H490" s="15"/>
    </row>
    <row r="491">
      <c r="B491" s="12"/>
      <c r="C491" s="13"/>
      <c r="G491" s="14"/>
      <c r="H491" s="15"/>
    </row>
    <row r="492">
      <c r="B492" s="12"/>
      <c r="C492" s="13"/>
      <c r="G492" s="14"/>
      <c r="H492" s="15"/>
    </row>
    <row r="493">
      <c r="B493" s="12"/>
      <c r="C493" s="13"/>
      <c r="G493" s="14"/>
      <c r="H493" s="15"/>
    </row>
    <row r="494">
      <c r="B494" s="12"/>
      <c r="C494" s="13"/>
      <c r="G494" s="14"/>
      <c r="H494" s="15"/>
    </row>
    <row r="495">
      <c r="B495" s="12"/>
      <c r="C495" s="13"/>
      <c r="G495" s="14"/>
      <c r="H495" s="15"/>
    </row>
    <row r="496">
      <c r="B496" s="12"/>
      <c r="C496" s="13"/>
      <c r="G496" s="14"/>
      <c r="H496" s="15"/>
    </row>
    <row r="497">
      <c r="B497" s="12"/>
      <c r="C497" s="13"/>
      <c r="G497" s="14"/>
      <c r="H497" s="15"/>
    </row>
    <row r="498">
      <c r="B498" s="12"/>
      <c r="C498" s="13"/>
      <c r="G498" s="14"/>
      <c r="H498" s="15"/>
    </row>
    <row r="499">
      <c r="B499" s="12"/>
      <c r="C499" s="13"/>
      <c r="G499" s="14"/>
      <c r="H499" s="15"/>
    </row>
    <row r="500">
      <c r="B500" s="12"/>
      <c r="C500" s="13"/>
      <c r="G500" s="14"/>
      <c r="H500" s="15"/>
    </row>
    <row r="501">
      <c r="B501" s="12"/>
      <c r="C501" s="13"/>
      <c r="G501" s="14"/>
      <c r="H501" s="15"/>
    </row>
    <row r="502">
      <c r="B502" s="12"/>
      <c r="C502" s="13"/>
      <c r="G502" s="14"/>
      <c r="H502" s="15"/>
    </row>
    <row r="503">
      <c r="B503" s="12"/>
      <c r="C503" s="13"/>
      <c r="G503" s="14"/>
      <c r="H503" s="15"/>
    </row>
    <row r="504">
      <c r="B504" s="12"/>
      <c r="C504" s="13"/>
      <c r="G504" s="14"/>
      <c r="H504" s="15"/>
    </row>
    <row r="505">
      <c r="B505" s="12"/>
      <c r="C505" s="13"/>
      <c r="G505" s="14"/>
      <c r="H505" s="15"/>
    </row>
    <row r="506">
      <c r="B506" s="12"/>
      <c r="C506" s="13"/>
      <c r="G506" s="14"/>
      <c r="H506" s="15"/>
    </row>
    <row r="507">
      <c r="B507" s="12"/>
      <c r="C507" s="13"/>
      <c r="G507" s="14"/>
      <c r="H507" s="15"/>
    </row>
    <row r="508">
      <c r="B508" s="12"/>
      <c r="C508" s="13"/>
      <c r="G508" s="14"/>
      <c r="H508" s="15"/>
    </row>
    <row r="509">
      <c r="B509" s="12"/>
      <c r="C509" s="13"/>
      <c r="G509" s="14"/>
      <c r="H509" s="15"/>
    </row>
    <row r="510">
      <c r="B510" s="12"/>
      <c r="C510" s="13"/>
      <c r="G510" s="14"/>
      <c r="H510" s="15"/>
    </row>
    <row r="511">
      <c r="B511" s="12"/>
      <c r="C511" s="13"/>
      <c r="G511" s="14"/>
      <c r="H511" s="15"/>
    </row>
    <row r="512">
      <c r="B512" s="12"/>
      <c r="C512" s="13"/>
      <c r="G512" s="14"/>
      <c r="H512" s="15"/>
    </row>
    <row r="513">
      <c r="B513" s="12"/>
      <c r="C513" s="13"/>
      <c r="G513" s="14"/>
      <c r="H513" s="15"/>
    </row>
    <row r="514">
      <c r="B514" s="12"/>
      <c r="C514" s="13"/>
      <c r="G514" s="14"/>
      <c r="H514" s="15"/>
    </row>
    <row r="515">
      <c r="B515" s="12"/>
      <c r="C515" s="13"/>
      <c r="G515" s="14"/>
      <c r="H515" s="15"/>
    </row>
    <row r="516">
      <c r="B516" s="12"/>
      <c r="C516" s="13"/>
      <c r="G516" s="14"/>
      <c r="H516" s="15"/>
    </row>
    <row r="517">
      <c r="B517" s="12"/>
      <c r="C517" s="13"/>
      <c r="G517" s="14"/>
      <c r="H517" s="15"/>
    </row>
    <row r="518">
      <c r="B518" s="12"/>
      <c r="C518" s="13"/>
      <c r="G518" s="14"/>
      <c r="H518" s="15"/>
    </row>
    <row r="519">
      <c r="B519" s="12"/>
      <c r="C519" s="13"/>
      <c r="G519" s="14"/>
      <c r="H519" s="15"/>
    </row>
    <row r="520">
      <c r="B520" s="12"/>
      <c r="C520" s="13"/>
      <c r="G520" s="14"/>
      <c r="H520" s="15"/>
    </row>
    <row r="521">
      <c r="B521" s="12"/>
      <c r="C521" s="13"/>
      <c r="G521" s="14"/>
      <c r="H521" s="15"/>
    </row>
    <row r="522">
      <c r="B522" s="12"/>
      <c r="C522" s="13"/>
      <c r="G522" s="14"/>
      <c r="H522" s="15"/>
    </row>
    <row r="523">
      <c r="B523" s="12"/>
      <c r="C523" s="13"/>
      <c r="G523" s="14"/>
      <c r="H523" s="15"/>
    </row>
    <row r="524">
      <c r="B524" s="12"/>
      <c r="C524" s="13"/>
      <c r="G524" s="14"/>
      <c r="H524" s="15"/>
    </row>
    <row r="525">
      <c r="B525" s="12"/>
      <c r="C525" s="13"/>
      <c r="G525" s="14"/>
      <c r="H525" s="15"/>
    </row>
    <row r="526">
      <c r="B526" s="12"/>
      <c r="C526" s="13"/>
      <c r="G526" s="14"/>
      <c r="H526" s="15"/>
    </row>
    <row r="527">
      <c r="B527" s="12"/>
      <c r="C527" s="13"/>
      <c r="G527" s="14"/>
      <c r="H527" s="15"/>
    </row>
    <row r="528">
      <c r="B528" s="12"/>
      <c r="C528" s="13"/>
      <c r="G528" s="14"/>
      <c r="H528" s="15"/>
    </row>
    <row r="529">
      <c r="B529" s="12"/>
      <c r="C529" s="13"/>
      <c r="G529" s="14"/>
      <c r="H529" s="15"/>
    </row>
    <row r="530">
      <c r="B530" s="12"/>
      <c r="C530" s="13"/>
      <c r="G530" s="14"/>
      <c r="H530" s="15"/>
    </row>
    <row r="531">
      <c r="B531" s="12"/>
      <c r="C531" s="13"/>
      <c r="G531" s="14"/>
      <c r="H531" s="15"/>
    </row>
    <row r="532">
      <c r="B532" s="12"/>
      <c r="C532" s="13"/>
      <c r="G532" s="14"/>
      <c r="H532" s="15"/>
    </row>
    <row r="533">
      <c r="B533" s="12"/>
      <c r="C533" s="13"/>
      <c r="G533" s="14"/>
      <c r="H533" s="15"/>
    </row>
    <row r="534">
      <c r="B534" s="12"/>
      <c r="C534" s="13"/>
      <c r="G534" s="14"/>
      <c r="H534" s="15"/>
    </row>
    <row r="535">
      <c r="B535" s="12"/>
      <c r="C535" s="13"/>
      <c r="G535" s="14"/>
      <c r="H535" s="15"/>
    </row>
    <row r="536">
      <c r="B536" s="12"/>
      <c r="C536" s="13"/>
      <c r="G536" s="14"/>
      <c r="H536" s="15"/>
    </row>
    <row r="537">
      <c r="B537" s="12"/>
      <c r="C537" s="13"/>
      <c r="G537" s="14"/>
      <c r="H537" s="15"/>
    </row>
    <row r="538">
      <c r="B538" s="12"/>
      <c r="C538" s="13"/>
      <c r="G538" s="14"/>
      <c r="H538" s="15"/>
    </row>
    <row r="539">
      <c r="B539" s="12"/>
      <c r="C539" s="13"/>
      <c r="G539" s="14"/>
      <c r="H539" s="15"/>
    </row>
    <row r="540">
      <c r="B540" s="12"/>
      <c r="C540" s="13"/>
      <c r="G540" s="14"/>
      <c r="H540" s="15"/>
    </row>
    <row r="541">
      <c r="B541" s="12"/>
      <c r="C541" s="13"/>
      <c r="G541" s="14"/>
      <c r="H541" s="15"/>
    </row>
    <row r="542">
      <c r="B542" s="12"/>
      <c r="C542" s="13"/>
      <c r="G542" s="14"/>
      <c r="H542" s="15"/>
    </row>
    <row r="543">
      <c r="B543" s="12"/>
      <c r="C543" s="13"/>
      <c r="G543" s="14"/>
      <c r="H543" s="15"/>
    </row>
    <row r="544">
      <c r="B544" s="12"/>
      <c r="C544" s="13"/>
      <c r="G544" s="14"/>
      <c r="H544" s="15"/>
    </row>
    <row r="545">
      <c r="B545" s="12"/>
      <c r="C545" s="13"/>
      <c r="G545" s="14"/>
      <c r="H545" s="15"/>
    </row>
    <row r="546">
      <c r="B546" s="12"/>
      <c r="C546" s="13"/>
      <c r="G546" s="14"/>
      <c r="H546" s="15"/>
    </row>
    <row r="547">
      <c r="B547" s="12"/>
      <c r="C547" s="13"/>
      <c r="G547" s="14"/>
      <c r="H547" s="15"/>
    </row>
    <row r="548">
      <c r="B548" s="12"/>
      <c r="C548" s="13"/>
      <c r="G548" s="14"/>
      <c r="H548" s="15"/>
    </row>
    <row r="549">
      <c r="B549" s="12"/>
      <c r="C549" s="13"/>
      <c r="G549" s="14"/>
      <c r="H549" s="15"/>
    </row>
    <row r="550">
      <c r="B550" s="12"/>
      <c r="C550" s="13"/>
      <c r="G550" s="14"/>
      <c r="H550" s="15"/>
    </row>
    <row r="551">
      <c r="B551" s="12"/>
      <c r="C551" s="13"/>
      <c r="G551" s="14"/>
      <c r="H551" s="15"/>
    </row>
    <row r="552">
      <c r="B552" s="12"/>
      <c r="C552" s="13"/>
      <c r="G552" s="14"/>
      <c r="H552" s="15"/>
    </row>
    <row r="553">
      <c r="B553" s="12"/>
      <c r="C553" s="13"/>
      <c r="G553" s="14"/>
      <c r="H553" s="15"/>
    </row>
    <row r="554">
      <c r="B554" s="12"/>
      <c r="C554" s="13"/>
      <c r="G554" s="14"/>
      <c r="H554" s="15"/>
    </row>
    <row r="555">
      <c r="B555" s="12"/>
      <c r="C555" s="13"/>
      <c r="G555" s="14"/>
      <c r="H555" s="15"/>
    </row>
    <row r="556">
      <c r="B556" s="12"/>
      <c r="C556" s="13"/>
      <c r="G556" s="14"/>
      <c r="H556" s="15"/>
    </row>
    <row r="557">
      <c r="B557" s="12"/>
      <c r="C557" s="13"/>
      <c r="G557" s="14"/>
      <c r="H557" s="15"/>
    </row>
    <row r="558">
      <c r="B558" s="12"/>
      <c r="C558" s="13"/>
      <c r="G558" s="14"/>
      <c r="H558" s="15"/>
    </row>
    <row r="559">
      <c r="B559" s="12"/>
      <c r="C559" s="13"/>
      <c r="G559" s="14"/>
      <c r="H559" s="15"/>
    </row>
    <row r="560">
      <c r="B560" s="12"/>
      <c r="C560" s="13"/>
      <c r="G560" s="14"/>
      <c r="H560" s="15"/>
    </row>
    <row r="561">
      <c r="B561" s="12"/>
      <c r="C561" s="13"/>
      <c r="G561" s="14"/>
      <c r="H561" s="15"/>
    </row>
    <row r="562">
      <c r="B562" s="12"/>
      <c r="C562" s="13"/>
      <c r="G562" s="14"/>
      <c r="H562" s="15"/>
    </row>
    <row r="563">
      <c r="B563" s="12"/>
      <c r="C563" s="13"/>
      <c r="G563" s="14"/>
      <c r="H563" s="15"/>
    </row>
    <row r="564">
      <c r="B564" s="12"/>
      <c r="C564" s="13"/>
      <c r="G564" s="14"/>
      <c r="H564" s="15"/>
    </row>
    <row r="565">
      <c r="B565" s="12"/>
      <c r="C565" s="13"/>
      <c r="G565" s="14"/>
      <c r="H565" s="15"/>
    </row>
    <row r="566">
      <c r="B566" s="12"/>
      <c r="C566" s="13"/>
      <c r="G566" s="14"/>
      <c r="H566" s="15"/>
    </row>
    <row r="567">
      <c r="B567" s="12"/>
      <c r="C567" s="13"/>
      <c r="G567" s="14"/>
      <c r="H567" s="15"/>
    </row>
    <row r="568">
      <c r="B568" s="12"/>
      <c r="C568" s="13"/>
      <c r="G568" s="14"/>
      <c r="H568" s="15"/>
    </row>
    <row r="569">
      <c r="B569" s="12"/>
      <c r="C569" s="13"/>
      <c r="G569" s="14"/>
      <c r="H569" s="15"/>
    </row>
    <row r="570">
      <c r="B570" s="12"/>
      <c r="C570" s="13"/>
      <c r="G570" s="14"/>
      <c r="H570" s="15"/>
    </row>
    <row r="571">
      <c r="B571" s="12"/>
      <c r="C571" s="13"/>
      <c r="G571" s="14"/>
      <c r="H571" s="15"/>
    </row>
    <row r="572">
      <c r="B572" s="12"/>
      <c r="C572" s="13"/>
      <c r="G572" s="14"/>
      <c r="H572" s="15"/>
    </row>
    <row r="573">
      <c r="B573" s="12"/>
      <c r="C573" s="13"/>
      <c r="G573" s="14"/>
      <c r="H573" s="15"/>
    </row>
    <row r="574">
      <c r="B574" s="12"/>
      <c r="C574" s="13"/>
      <c r="G574" s="14"/>
      <c r="H574" s="15"/>
    </row>
    <row r="575">
      <c r="B575" s="12"/>
      <c r="C575" s="13"/>
      <c r="G575" s="14"/>
      <c r="H575" s="15"/>
    </row>
    <row r="576">
      <c r="B576" s="12"/>
      <c r="C576" s="13"/>
      <c r="G576" s="14"/>
      <c r="H576" s="15"/>
    </row>
    <row r="577">
      <c r="B577" s="12"/>
      <c r="C577" s="13"/>
      <c r="G577" s="14"/>
      <c r="H577" s="15"/>
    </row>
    <row r="578">
      <c r="B578" s="12"/>
      <c r="C578" s="13"/>
      <c r="G578" s="14"/>
      <c r="H578" s="15"/>
    </row>
    <row r="579">
      <c r="B579" s="12"/>
      <c r="C579" s="13"/>
      <c r="G579" s="14"/>
      <c r="H579" s="15"/>
    </row>
    <row r="580">
      <c r="B580" s="12"/>
      <c r="C580" s="13"/>
      <c r="G580" s="14"/>
      <c r="H580" s="15"/>
    </row>
    <row r="581">
      <c r="B581" s="12"/>
      <c r="C581" s="13"/>
      <c r="G581" s="14"/>
      <c r="H581" s="15"/>
    </row>
    <row r="582">
      <c r="B582" s="12"/>
      <c r="C582" s="13"/>
      <c r="G582" s="14"/>
      <c r="H582" s="15"/>
    </row>
    <row r="583">
      <c r="B583" s="12"/>
      <c r="C583" s="13"/>
      <c r="G583" s="14"/>
      <c r="H583" s="15"/>
    </row>
    <row r="584">
      <c r="B584" s="12"/>
      <c r="C584" s="13"/>
      <c r="G584" s="14"/>
      <c r="H584" s="15"/>
    </row>
    <row r="585">
      <c r="B585" s="12"/>
      <c r="C585" s="13"/>
      <c r="G585" s="14"/>
      <c r="H585" s="15"/>
    </row>
    <row r="586">
      <c r="B586" s="12"/>
      <c r="C586" s="13"/>
      <c r="G586" s="14"/>
      <c r="H586" s="15"/>
    </row>
    <row r="587">
      <c r="B587" s="12"/>
      <c r="C587" s="13"/>
      <c r="G587" s="14"/>
      <c r="H587" s="15"/>
    </row>
    <row r="588">
      <c r="B588" s="12"/>
      <c r="C588" s="13"/>
      <c r="G588" s="14"/>
      <c r="H588" s="15"/>
    </row>
    <row r="589">
      <c r="B589" s="12"/>
      <c r="C589" s="13"/>
      <c r="G589" s="14"/>
      <c r="H589" s="15"/>
    </row>
    <row r="590">
      <c r="B590" s="12"/>
      <c r="C590" s="13"/>
      <c r="G590" s="14"/>
      <c r="H590" s="15"/>
    </row>
    <row r="591">
      <c r="B591" s="12"/>
      <c r="C591" s="13"/>
      <c r="G591" s="14"/>
      <c r="H591" s="15"/>
    </row>
    <row r="592">
      <c r="B592" s="12"/>
      <c r="C592" s="13"/>
      <c r="G592" s="14"/>
      <c r="H592" s="15"/>
    </row>
    <row r="593">
      <c r="B593" s="12"/>
      <c r="C593" s="13"/>
      <c r="G593" s="14"/>
      <c r="H593" s="15"/>
    </row>
    <row r="594">
      <c r="B594" s="12"/>
      <c r="C594" s="13"/>
      <c r="G594" s="14"/>
      <c r="H594" s="15"/>
    </row>
    <row r="595">
      <c r="B595" s="12"/>
      <c r="C595" s="13"/>
      <c r="G595" s="14"/>
      <c r="H595" s="15"/>
    </row>
    <row r="596">
      <c r="B596" s="12"/>
      <c r="C596" s="13"/>
      <c r="G596" s="14"/>
      <c r="H596" s="15"/>
    </row>
    <row r="597">
      <c r="B597" s="12"/>
      <c r="C597" s="13"/>
      <c r="G597" s="14"/>
      <c r="H597" s="15"/>
    </row>
    <row r="598">
      <c r="B598" s="12"/>
      <c r="C598" s="13"/>
      <c r="G598" s="14"/>
      <c r="H598" s="15"/>
    </row>
    <row r="599">
      <c r="B599" s="12"/>
      <c r="C599" s="13"/>
      <c r="G599" s="14"/>
      <c r="H599" s="15"/>
    </row>
    <row r="600">
      <c r="B600" s="12"/>
      <c r="C600" s="13"/>
      <c r="G600" s="14"/>
      <c r="H600" s="15"/>
    </row>
    <row r="601">
      <c r="B601" s="12"/>
      <c r="C601" s="13"/>
      <c r="G601" s="14"/>
      <c r="H601" s="15"/>
    </row>
    <row r="602">
      <c r="B602" s="12"/>
      <c r="C602" s="13"/>
      <c r="G602" s="14"/>
      <c r="H602" s="15"/>
    </row>
    <row r="603">
      <c r="B603" s="12"/>
      <c r="C603" s="13"/>
      <c r="G603" s="14"/>
      <c r="H603" s="15"/>
    </row>
    <row r="604">
      <c r="B604" s="12"/>
      <c r="C604" s="13"/>
      <c r="G604" s="14"/>
      <c r="H604" s="15"/>
    </row>
    <row r="605">
      <c r="B605" s="12"/>
      <c r="C605" s="13"/>
      <c r="G605" s="14"/>
      <c r="H605" s="15"/>
    </row>
    <row r="606">
      <c r="B606" s="12"/>
      <c r="C606" s="13"/>
      <c r="G606" s="14"/>
      <c r="H606" s="15"/>
    </row>
    <row r="607">
      <c r="B607" s="12"/>
      <c r="C607" s="13"/>
      <c r="G607" s="14"/>
      <c r="H607" s="15"/>
    </row>
    <row r="608">
      <c r="B608" s="12"/>
      <c r="C608" s="13"/>
      <c r="G608" s="14"/>
      <c r="H608" s="15"/>
    </row>
    <row r="609">
      <c r="B609" s="12"/>
      <c r="C609" s="13"/>
      <c r="G609" s="14"/>
      <c r="H609" s="15"/>
    </row>
    <row r="610">
      <c r="B610" s="12"/>
      <c r="C610" s="13"/>
      <c r="G610" s="14"/>
      <c r="H610" s="15"/>
    </row>
    <row r="611">
      <c r="B611" s="12"/>
      <c r="C611" s="13"/>
      <c r="G611" s="14"/>
      <c r="H611" s="15"/>
    </row>
    <row r="612">
      <c r="B612" s="12"/>
      <c r="C612" s="13"/>
      <c r="G612" s="14"/>
      <c r="H612" s="15"/>
    </row>
    <row r="613">
      <c r="B613" s="12"/>
      <c r="C613" s="13"/>
      <c r="G613" s="14"/>
      <c r="H613" s="15"/>
    </row>
    <row r="614">
      <c r="B614" s="12"/>
      <c r="C614" s="13"/>
      <c r="G614" s="14"/>
      <c r="H614" s="15"/>
    </row>
    <row r="615">
      <c r="B615" s="12"/>
      <c r="C615" s="13"/>
      <c r="G615" s="14"/>
      <c r="H615" s="15"/>
    </row>
    <row r="616">
      <c r="B616" s="12"/>
      <c r="C616" s="13"/>
      <c r="G616" s="14"/>
      <c r="H616" s="15"/>
    </row>
    <row r="617">
      <c r="B617" s="12"/>
      <c r="C617" s="13"/>
      <c r="G617" s="14"/>
      <c r="H617" s="15"/>
    </row>
    <row r="618">
      <c r="B618" s="12"/>
      <c r="C618" s="13"/>
      <c r="G618" s="14"/>
      <c r="H618" s="15"/>
    </row>
    <row r="619">
      <c r="B619" s="12"/>
      <c r="C619" s="13"/>
      <c r="G619" s="14"/>
      <c r="H619" s="15"/>
    </row>
    <row r="620">
      <c r="B620" s="12"/>
      <c r="C620" s="13"/>
      <c r="G620" s="14"/>
      <c r="H620" s="15"/>
    </row>
    <row r="621">
      <c r="B621" s="12"/>
      <c r="C621" s="13"/>
      <c r="G621" s="14"/>
      <c r="H621" s="15"/>
    </row>
    <row r="622">
      <c r="B622" s="12"/>
      <c r="C622" s="13"/>
      <c r="G622" s="14"/>
      <c r="H622" s="15"/>
    </row>
    <row r="623">
      <c r="B623" s="12"/>
      <c r="C623" s="13"/>
      <c r="G623" s="14"/>
      <c r="H623" s="15"/>
    </row>
    <row r="624">
      <c r="B624" s="12"/>
      <c r="C624" s="13"/>
      <c r="G624" s="14"/>
      <c r="H624" s="15"/>
    </row>
    <row r="625">
      <c r="B625" s="12"/>
      <c r="C625" s="13"/>
      <c r="G625" s="14"/>
      <c r="H625" s="15"/>
    </row>
    <row r="626">
      <c r="B626" s="12"/>
      <c r="C626" s="13"/>
      <c r="G626" s="14"/>
      <c r="H626" s="15"/>
    </row>
    <row r="627">
      <c r="B627" s="12"/>
      <c r="C627" s="13"/>
      <c r="G627" s="14"/>
      <c r="H627" s="15"/>
    </row>
    <row r="628">
      <c r="B628" s="12"/>
      <c r="C628" s="13"/>
      <c r="G628" s="14"/>
      <c r="H628" s="15"/>
    </row>
    <row r="629">
      <c r="B629" s="12"/>
      <c r="C629" s="13"/>
      <c r="G629" s="14"/>
      <c r="H629" s="15"/>
    </row>
    <row r="630">
      <c r="B630" s="12"/>
      <c r="C630" s="13"/>
      <c r="G630" s="14"/>
      <c r="H630" s="15"/>
    </row>
    <row r="631">
      <c r="B631" s="12"/>
      <c r="C631" s="13"/>
      <c r="G631" s="14"/>
      <c r="H631" s="15"/>
    </row>
    <row r="632">
      <c r="B632" s="12"/>
      <c r="C632" s="13"/>
      <c r="G632" s="14"/>
      <c r="H632" s="15"/>
    </row>
    <row r="633">
      <c r="B633" s="12"/>
      <c r="C633" s="13"/>
      <c r="G633" s="14"/>
      <c r="H633" s="15"/>
    </row>
    <row r="634">
      <c r="B634" s="12"/>
      <c r="C634" s="13"/>
      <c r="G634" s="14"/>
      <c r="H634" s="15"/>
    </row>
    <row r="635">
      <c r="B635" s="12"/>
      <c r="C635" s="13"/>
      <c r="G635" s="14"/>
      <c r="H635" s="15"/>
    </row>
    <row r="636">
      <c r="B636" s="12"/>
      <c r="C636" s="13"/>
      <c r="G636" s="14"/>
      <c r="H636" s="15"/>
    </row>
    <row r="637">
      <c r="B637" s="12"/>
      <c r="C637" s="13"/>
      <c r="G637" s="14"/>
      <c r="H637" s="15"/>
    </row>
    <row r="638">
      <c r="B638" s="12"/>
      <c r="C638" s="13"/>
      <c r="G638" s="14"/>
      <c r="H638" s="15"/>
    </row>
    <row r="639">
      <c r="B639" s="12"/>
      <c r="C639" s="13"/>
      <c r="G639" s="14"/>
      <c r="H639" s="15"/>
    </row>
    <row r="640">
      <c r="B640" s="12"/>
      <c r="C640" s="13"/>
      <c r="G640" s="14"/>
      <c r="H640" s="15"/>
    </row>
    <row r="641">
      <c r="B641" s="12"/>
      <c r="C641" s="13"/>
      <c r="G641" s="14"/>
      <c r="H641" s="15"/>
    </row>
    <row r="642">
      <c r="B642" s="12"/>
      <c r="C642" s="13"/>
      <c r="G642" s="14"/>
      <c r="H642" s="15"/>
    </row>
    <row r="643">
      <c r="B643" s="12"/>
      <c r="C643" s="13"/>
      <c r="G643" s="14"/>
      <c r="H643" s="15"/>
    </row>
    <row r="644">
      <c r="B644" s="12"/>
      <c r="C644" s="13"/>
      <c r="G644" s="14"/>
      <c r="H644" s="15"/>
    </row>
    <row r="645">
      <c r="B645" s="12"/>
      <c r="C645" s="13"/>
      <c r="G645" s="14"/>
      <c r="H645" s="15"/>
    </row>
    <row r="646">
      <c r="B646" s="12"/>
      <c r="C646" s="13"/>
      <c r="G646" s="14"/>
      <c r="H646" s="15"/>
    </row>
    <row r="647">
      <c r="B647" s="12"/>
      <c r="C647" s="13"/>
      <c r="G647" s="14"/>
      <c r="H647" s="15"/>
    </row>
    <row r="648">
      <c r="B648" s="12"/>
      <c r="C648" s="13"/>
      <c r="G648" s="14"/>
      <c r="H648" s="15"/>
    </row>
    <row r="649">
      <c r="B649" s="12"/>
      <c r="C649" s="13"/>
      <c r="G649" s="14"/>
      <c r="H649" s="15"/>
    </row>
    <row r="650">
      <c r="B650" s="12"/>
      <c r="C650" s="13"/>
      <c r="G650" s="14"/>
      <c r="H650" s="15"/>
    </row>
    <row r="651">
      <c r="B651" s="12"/>
      <c r="C651" s="13"/>
      <c r="G651" s="14"/>
      <c r="H651" s="15"/>
    </row>
    <row r="652">
      <c r="B652" s="12"/>
      <c r="C652" s="13"/>
      <c r="G652" s="14"/>
      <c r="H652" s="15"/>
    </row>
    <row r="653">
      <c r="B653" s="12"/>
      <c r="C653" s="13"/>
      <c r="G653" s="14"/>
      <c r="H653" s="15"/>
    </row>
    <row r="654">
      <c r="B654" s="12"/>
      <c r="C654" s="13"/>
      <c r="G654" s="14"/>
      <c r="H654" s="15"/>
    </row>
    <row r="655">
      <c r="B655" s="12"/>
      <c r="C655" s="13"/>
      <c r="G655" s="14"/>
      <c r="H655" s="15"/>
    </row>
    <row r="656">
      <c r="B656" s="12"/>
      <c r="C656" s="13"/>
      <c r="G656" s="14"/>
      <c r="H656" s="15"/>
    </row>
    <row r="657">
      <c r="B657" s="12"/>
      <c r="C657" s="13"/>
      <c r="G657" s="14"/>
      <c r="H657" s="15"/>
    </row>
    <row r="658">
      <c r="B658" s="12"/>
      <c r="C658" s="13"/>
      <c r="G658" s="14"/>
      <c r="H658" s="15"/>
    </row>
    <row r="659">
      <c r="B659" s="12"/>
      <c r="C659" s="13"/>
      <c r="G659" s="14"/>
      <c r="H659" s="15"/>
    </row>
    <row r="660">
      <c r="B660" s="12"/>
      <c r="C660" s="13"/>
      <c r="G660" s="14"/>
      <c r="H660" s="15"/>
    </row>
    <row r="661">
      <c r="B661" s="12"/>
      <c r="C661" s="13"/>
      <c r="G661" s="14"/>
      <c r="H661" s="15"/>
    </row>
    <row r="662">
      <c r="B662" s="12"/>
      <c r="C662" s="13"/>
      <c r="G662" s="14"/>
      <c r="H662" s="15"/>
    </row>
    <row r="663">
      <c r="B663" s="12"/>
      <c r="C663" s="13"/>
      <c r="G663" s="14"/>
      <c r="H663" s="15"/>
    </row>
    <row r="664">
      <c r="B664" s="12"/>
      <c r="C664" s="13"/>
      <c r="G664" s="14"/>
      <c r="H664" s="15"/>
    </row>
    <row r="665">
      <c r="B665" s="12"/>
      <c r="C665" s="13"/>
      <c r="G665" s="14"/>
      <c r="H665" s="15"/>
    </row>
    <row r="666">
      <c r="B666" s="12"/>
      <c r="C666" s="13"/>
      <c r="G666" s="14"/>
      <c r="H666" s="15"/>
    </row>
    <row r="667">
      <c r="B667" s="12"/>
      <c r="C667" s="13"/>
      <c r="G667" s="14"/>
      <c r="H667" s="15"/>
    </row>
    <row r="668">
      <c r="B668" s="12"/>
      <c r="C668" s="13"/>
      <c r="G668" s="14"/>
      <c r="H668" s="15"/>
    </row>
    <row r="669">
      <c r="B669" s="12"/>
      <c r="C669" s="13"/>
      <c r="G669" s="14"/>
      <c r="H669" s="15"/>
    </row>
    <row r="670">
      <c r="B670" s="12"/>
      <c r="C670" s="13"/>
      <c r="G670" s="14"/>
      <c r="H670" s="15"/>
    </row>
    <row r="671">
      <c r="B671" s="12"/>
      <c r="C671" s="13"/>
      <c r="G671" s="14"/>
      <c r="H671" s="15"/>
    </row>
    <row r="672">
      <c r="B672" s="12"/>
      <c r="C672" s="13"/>
      <c r="G672" s="14"/>
      <c r="H672" s="15"/>
    </row>
    <row r="673">
      <c r="B673" s="12"/>
      <c r="C673" s="13"/>
      <c r="G673" s="14"/>
      <c r="H673" s="15"/>
    </row>
    <row r="674">
      <c r="B674" s="12"/>
      <c r="C674" s="13"/>
      <c r="G674" s="14"/>
      <c r="H674" s="15"/>
    </row>
    <row r="675">
      <c r="B675" s="12"/>
      <c r="C675" s="13"/>
      <c r="G675" s="14"/>
      <c r="H675" s="15"/>
    </row>
    <row r="676">
      <c r="B676" s="12"/>
      <c r="C676" s="13"/>
      <c r="G676" s="14"/>
      <c r="H676" s="15"/>
    </row>
    <row r="677">
      <c r="B677" s="12"/>
      <c r="C677" s="13"/>
      <c r="G677" s="14"/>
      <c r="H677" s="15"/>
    </row>
    <row r="678">
      <c r="B678" s="12"/>
      <c r="C678" s="13"/>
      <c r="G678" s="14"/>
      <c r="H678" s="15"/>
    </row>
    <row r="679">
      <c r="B679" s="12"/>
      <c r="C679" s="13"/>
      <c r="G679" s="14"/>
      <c r="H679" s="15"/>
    </row>
    <row r="680">
      <c r="B680" s="12"/>
      <c r="C680" s="13"/>
      <c r="G680" s="14"/>
      <c r="H680" s="15"/>
    </row>
    <row r="681">
      <c r="B681" s="12"/>
      <c r="C681" s="13"/>
      <c r="G681" s="14"/>
      <c r="H681" s="15"/>
    </row>
    <row r="682">
      <c r="B682" s="12"/>
      <c r="C682" s="13"/>
      <c r="G682" s="14"/>
      <c r="H682" s="15"/>
    </row>
    <row r="683">
      <c r="B683" s="12"/>
      <c r="C683" s="13"/>
      <c r="G683" s="14"/>
      <c r="H683" s="15"/>
    </row>
    <row r="684">
      <c r="B684" s="12"/>
      <c r="C684" s="13"/>
      <c r="G684" s="14"/>
      <c r="H684" s="15"/>
    </row>
    <row r="685">
      <c r="B685" s="12"/>
      <c r="C685" s="13"/>
      <c r="G685" s="14"/>
      <c r="H685" s="15"/>
    </row>
    <row r="686">
      <c r="B686" s="12"/>
      <c r="C686" s="13"/>
      <c r="G686" s="14"/>
      <c r="H686" s="15"/>
    </row>
    <row r="687">
      <c r="B687" s="12"/>
      <c r="C687" s="13"/>
      <c r="G687" s="14"/>
      <c r="H687" s="15"/>
    </row>
    <row r="688">
      <c r="B688" s="12"/>
      <c r="C688" s="13"/>
      <c r="G688" s="14"/>
      <c r="H688" s="15"/>
    </row>
    <row r="689">
      <c r="B689" s="12"/>
      <c r="C689" s="13"/>
      <c r="G689" s="14"/>
      <c r="H689" s="15"/>
    </row>
    <row r="690">
      <c r="B690" s="12"/>
      <c r="C690" s="13"/>
      <c r="G690" s="14"/>
      <c r="H690" s="15"/>
    </row>
    <row r="691">
      <c r="B691" s="12"/>
      <c r="C691" s="13"/>
      <c r="G691" s="14"/>
      <c r="H691" s="15"/>
    </row>
    <row r="692">
      <c r="B692" s="12"/>
      <c r="C692" s="13"/>
      <c r="G692" s="14"/>
      <c r="H692" s="15"/>
    </row>
    <row r="693">
      <c r="B693" s="12"/>
      <c r="C693" s="13"/>
      <c r="G693" s="14"/>
      <c r="H693" s="15"/>
    </row>
    <row r="694">
      <c r="B694" s="12"/>
      <c r="C694" s="13"/>
      <c r="G694" s="14"/>
      <c r="H694" s="15"/>
    </row>
    <row r="695">
      <c r="B695" s="12"/>
      <c r="C695" s="13"/>
      <c r="G695" s="14"/>
      <c r="H695" s="15"/>
    </row>
    <row r="696">
      <c r="B696" s="12"/>
      <c r="C696" s="13"/>
      <c r="G696" s="14"/>
      <c r="H696" s="15"/>
    </row>
    <row r="697">
      <c r="B697" s="12"/>
      <c r="C697" s="13"/>
      <c r="G697" s="14"/>
      <c r="H697" s="15"/>
    </row>
    <row r="698">
      <c r="B698" s="12"/>
      <c r="C698" s="13"/>
      <c r="G698" s="14"/>
      <c r="H698" s="15"/>
    </row>
    <row r="699">
      <c r="B699" s="12"/>
      <c r="C699" s="13"/>
      <c r="G699" s="14"/>
      <c r="H699" s="15"/>
    </row>
    <row r="700">
      <c r="B700" s="12"/>
      <c r="C700" s="13"/>
      <c r="G700" s="14"/>
      <c r="H700" s="15"/>
    </row>
    <row r="701">
      <c r="B701" s="12"/>
      <c r="C701" s="13"/>
      <c r="G701" s="14"/>
      <c r="H701" s="15"/>
    </row>
    <row r="702">
      <c r="B702" s="12"/>
      <c r="C702" s="13"/>
      <c r="G702" s="14"/>
      <c r="H702" s="15"/>
    </row>
    <row r="703">
      <c r="B703" s="12"/>
      <c r="C703" s="13"/>
      <c r="G703" s="14"/>
      <c r="H703" s="15"/>
    </row>
    <row r="704">
      <c r="B704" s="12"/>
      <c r="C704" s="13"/>
      <c r="G704" s="14"/>
      <c r="H704" s="15"/>
    </row>
    <row r="705">
      <c r="B705" s="12"/>
      <c r="C705" s="13"/>
      <c r="G705" s="14"/>
      <c r="H705" s="15"/>
    </row>
    <row r="706">
      <c r="B706" s="12"/>
      <c r="C706" s="13"/>
      <c r="G706" s="14"/>
      <c r="H706" s="15"/>
    </row>
    <row r="707">
      <c r="B707" s="12"/>
      <c r="C707" s="13"/>
      <c r="G707" s="14"/>
      <c r="H707" s="15"/>
    </row>
    <row r="708">
      <c r="B708" s="12"/>
      <c r="C708" s="13"/>
      <c r="G708" s="14"/>
      <c r="H708" s="15"/>
    </row>
    <row r="709">
      <c r="B709" s="12"/>
      <c r="C709" s="13"/>
      <c r="G709" s="14"/>
      <c r="H709" s="15"/>
    </row>
    <row r="710">
      <c r="B710" s="12"/>
      <c r="C710" s="13"/>
      <c r="G710" s="14"/>
      <c r="H710" s="15"/>
    </row>
    <row r="711">
      <c r="B711" s="12"/>
      <c r="C711" s="13"/>
      <c r="G711" s="14"/>
      <c r="H711" s="15"/>
    </row>
    <row r="712">
      <c r="B712" s="12"/>
      <c r="C712" s="13"/>
      <c r="G712" s="14"/>
      <c r="H712" s="15"/>
    </row>
    <row r="713">
      <c r="B713" s="12"/>
      <c r="C713" s="13"/>
      <c r="G713" s="14"/>
      <c r="H713" s="15"/>
    </row>
    <row r="714">
      <c r="B714" s="12"/>
      <c r="C714" s="13"/>
      <c r="G714" s="14"/>
      <c r="H714" s="15"/>
    </row>
    <row r="715">
      <c r="B715" s="12"/>
      <c r="C715" s="13"/>
      <c r="G715" s="14"/>
      <c r="H715" s="15"/>
    </row>
    <row r="716">
      <c r="B716" s="12"/>
      <c r="C716" s="13"/>
      <c r="G716" s="14"/>
      <c r="H716" s="15"/>
    </row>
    <row r="717">
      <c r="B717" s="12"/>
      <c r="C717" s="13"/>
      <c r="G717" s="14"/>
      <c r="H717" s="15"/>
    </row>
    <row r="718">
      <c r="B718" s="12"/>
      <c r="C718" s="13"/>
      <c r="G718" s="14"/>
      <c r="H718" s="15"/>
    </row>
    <row r="719">
      <c r="B719" s="12"/>
      <c r="C719" s="13"/>
      <c r="G719" s="14"/>
      <c r="H719" s="15"/>
    </row>
    <row r="720">
      <c r="B720" s="12"/>
      <c r="C720" s="13"/>
      <c r="G720" s="14"/>
      <c r="H720" s="15"/>
    </row>
    <row r="721">
      <c r="B721" s="12"/>
      <c r="C721" s="13"/>
      <c r="G721" s="14"/>
      <c r="H721" s="15"/>
    </row>
    <row r="722">
      <c r="B722" s="12"/>
      <c r="C722" s="13"/>
      <c r="G722" s="14"/>
      <c r="H722" s="15"/>
    </row>
    <row r="723">
      <c r="B723" s="12"/>
      <c r="C723" s="13"/>
      <c r="G723" s="14"/>
      <c r="H723" s="15"/>
    </row>
    <row r="724">
      <c r="B724" s="12"/>
      <c r="C724" s="13"/>
      <c r="G724" s="14"/>
      <c r="H724" s="15"/>
    </row>
    <row r="725">
      <c r="B725" s="12"/>
      <c r="C725" s="13"/>
      <c r="G725" s="14"/>
      <c r="H725" s="15"/>
    </row>
    <row r="726">
      <c r="B726" s="12"/>
      <c r="C726" s="13"/>
      <c r="G726" s="14"/>
      <c r="H726" s="15"/>
    </row>
    <row r="727">
      <c r="B727" s="12"/>
      <c r="C727" s="13"/>
      <c r="G727" s="14"/>
      <c r="H727" s="15"/>
    </row>
    <row r="728">
      <c r="B728" s="12"/>
      <c r="C728" s="13"/>
      <c r="G728" s="14"/>
      <c r="H728" s="15"/>
    </row>
    <row r="729">
      <c r="B729" s="12"/>
      <c r="C729" s="13"/>
      <c r="G729" s="14"/>
      <c r="H729" s="15"/>
    </row>
    <row r="730">
      <c r="B730" s="12"/>
      <c r="C730" s="13"/>
      <c r="G730" s="14"/>
      <c r="H730" s="15"/>
    </row>
    <row r="731">
      <c r="B731" s="12"/>
      <c r="C731" s="13"/>
      <c r="G731" s="14"/>
      <c r="H731" s="15"/>
    </row>
    <row r="732">
      <c r="B732" s="12"/>
      <c r="C732" s="13"/>
      <c r="G732" s="14"/>
      <c r="H732" s="15"/>
    </row>
    <row r="733">
      <c r="B733" s="12"/>
      <c r="C733" s="13"/>
      <c r="G733" s="14"/>
      <c r="H733" s="15"/>
    </row>
    <row r="734">
      <c r="B734" s="12"/>
      <c r="C734" s="13"/>
      <c r="G734" s="14"/>
      <c r="H734" s="15"/>
    </row>
    <row r="735">
      <c r="B735" s="12"/>
      <c r="C735" s="13"/>
      <c r="G735" s="14"/>
      <c r="H735" s="15"/>
    </row>
    <row r="736">
      <c r="B736" s="12"/>
      <c r="C736" s="13"/>
      <c r="G736" s="14"/>
      <c r="H736" s="15"/>
    </row>
    <row r="737">
      <c r="B737" s="12"/>
      <c r="C737" s="13"/>
      <c r="G737" s="14"/>
      <c r="H737" s="15"/>
    </row>
    <row r="738">
      <c r="B738" s="12"/>
      <c r="C738" s="13"/>
      <c r="G738" s="14"/>
      <c r="H738" s="15"/>
    </row>
    <row r="739">
      <c r="B739" s="12"/>
      <c r="C739" s="13"/>
      <c r="G739" s="14"/>
      <c r="H739" s="15"/>
    </row>
    <row r="740">
      <c r="B740" s="12"/>
      <c r="C740" s="13"/>
      <c r="G740" s="14"/>
      <c r="H740" s="15"/>
    </row>
    <row r="741">
      <c r="B741" s="12"/>
      <c r="C741" s="13"/>
      <c r="G741" s="14"/>
      <c r="H741" s="15"/>
    </row>
    <row r="742">
      <c r="B742" s="12"/>
      <c r="C742" s="13"/>
      <c r="G742" s="14"/>
      <c r="H742" s="15"/>
    </row>
    <row r="743">
      <c r="B743" s="12"/>
      <c r="C743" s="13"/>
      <c r="G743" s="14"/>
      <c r="H743" s="15"/>
    </row>
    <row r="744">
      <c r="B744" s="12"/>
      <c r="C744" s="13"/>
      <c r="G744" s="14"/>
      <c r="H744" s="15"/>
    </row>
    <row r="745">
      <c r="B745" s="12"/>
      <c r="C745" s="13"/>
      <c r="G745" s="14"/>
      <c r="H745" s="15"/>
    </row>
    <row r="746">
      <c r="B746" s="12"/>
      <c r="C746" s="13"/>
      <c r="G746" s="14"/>
      <c r="H746" s="15"/>
    </row>
    <row r="747">
      <c r="B747" s="12"/>
      <c r="C747" s="13"/>
      <c r="G747" s="14"/>
      <c r="H747" s="15"/>
    </row>
    <row r="748">
      <c r="B748" s="12"/>
      <c r="C748" s="13"/>
      <c r="G748" s="14"/>
      <c r="H748" s="15"/>
    </row>
    <row r="749">
      <c r="B749" s="12"/>
      <c r="C749" s="13"/>
      <c r="G749" s="14"/>
      <c r="H749" s="15"/>
    </row>
    <row r="750">
      <c r="B750" s="12"/>
      <c r="C750" s="13"/>
      <c r="G750" s="14"/>
      <c r="H750" s="15"/>
    </row>
    <row r="751">
      <c r="B751" s="12"/>
      <c r="C751" s="13"/>
      <c r="G751" s="14"/>
      <c r="H751" s="15"/>
    </row>
    <row r="752">
      <c r="B752" s="12"/>
      <c r="C752" s="13"/>
      <c r="G752" s="14"/>
      <c r="H752" s="15"/>
    </row>
    <row r="753">
      <c r="B753" s="12"/>
      <c r="C753" s="13"/>
      <c r="G753" s="14"/>
      <c r="H753" s="15"/>
    </row>
    <row r="754">
      <c r="B754" s="12"/>
      <c r="C754" s="13"/>
      <c r="G754" s="14"/>
      <c r="H754" s="15"/>
    </row>
    <row r="755">
      <c r="B755" s="12"/>
      <c r="C755" s="13"/>
      <c r="G755" s="14"/>
      <c r="H755" s="15"/>
    </row>
    <row r="756">
      <c r="B756" s="12"/>
      <c r="C756" s="13"/>
      <c r="G756" s="14"/>
      <c r="H756" s="15"/>
    </row>
    <row r="757">
      <c r="B757" s="12"/>
      <c r="C757" s="13"/>
      <c r="G757" s="14"/>
      <c r="H757" s="15"/>
    </row>
    <row r="758">
      <c r="B758" s="12"/>
      <c r="C758" s="13"/>
      <c r="G758" s="14"/>
      <c r="H758" s="15"/>
    </row>
    <row r="759">
      <c r="B759" s="12"/>
      <c r="C759" s="13"/>
      <c r="G759" s="14"/>
      <c r="H759" s="15"/>
    </row>
    <row r="760">
      <c r="B760" s="12"/>
      <c r="C760" s="13"/>
      <c r="G760" s="14"/>
      <c r="H760" s="15"/>
    </row>
    <row r="761">
      <c r="B761" s="12"/>
      <c r="C761" s="13"/>
      <c r="G761" s="14"/>
      <c r="H761" s="15"/>
    </row>
    <row r="762">
      <c r="B762" s="12"/>
      <c r="C762" s="13"/>
      <c r="G762" s="14"/>
      <c r="H762" s="15"/>
    </row>
    <row r="763">
      <c r="B763" s="12"/>
      <c r="C763" s="13"/>
      <c r="G763" s="14"/>
      <c r="H763" s="15"/>
    </row>
    <row r="764">
      <c r="B764" s="12"/>
      <c r="C764" s="13"/>
      <c r="G764" s="14"/>
      <c r="H764" s="15"/>
    </row>
    <row r="765">
      <c r="B765" s="12"/>
      <c r="C765" s="13"/>
      <c r="G765" s="14"/>
      <c r="H765" s="15"/>
    </row>
    <row r="766">
      <c r="B766" s="12"/>
      <c r="C766" s="13"/>
      <c r="G766" s="14"/>
      <c r="H766" s="15"/>
    </row>
    <row r="767">
      <c r="B767" s="12"/>
      <c r="C767" s="13"/>
      <c r="G767" s="14"/>
      <c r="H767" s="15"/>
    </row>
    <row r="768">
      <c r="B768" s="12"/>
      <c r="C768" s="13"/>
      <c r="G768" s="14"/>
      <c r="H768" s="15"/>
    </row>
    <row r="769">
      <c r="B769" s="12"/>
      <c r="C769" s="13"/>
      <c r="G769" s="14"/>
      <c r="H769" s="15"/>
    </row>
    <row r="770">
      <c r="B770" s="12"/>
      <c r="C770" s="13"/>
      <c r="G770" s="14"/>
      <c r="H770" s="15"/>
    </row>
    <row r="771">
      <c r="B771" s="12"/>
      <c r="C771" s="13"/>
      <c r="G771" s="14"/>
      <c r="H771" s="15"/>
    </row>
    <row r="772">
      <c r="B772" s="12"/>
      <c r="C772" s="13"/>
      <c r="G772" s="14"/>
      <c r="H772" s="15"/>
    </row>
    <row r="773">
      <c r="B773" s="12"/>
      <c r="C773" s="13"/>
      <c r="G773" s="14"/>
      <c r="H773" s="15"/>
    </row>
    <row r="774">
      <c r="B774" s="12"/>
      <c r="C774" s="13"/>
      <c r="G774" s="14"/>
      <c r="H774" s="15"/>
    </row>
    <row r="775">
      <c r="B775" s="12"/>
      <c r="C775" s="13"/>
      <c r="G775" s="14"/>
      <c r="H775" s="15"/>
    </row>
    <row r="776">
      <c r="B776" s="12"/>
      <c r="C776" s="13"/>
      <c r="G776" s="14"/>
      <c r="H776" s="15"/>
    </row>
    <row r="777">
      <c r="B777" s="12"/>
      <c r="C777" s="13"/>
      <c r="G777" s="14"/>
      <c r="H777" s="15"/>
    </row>
    <row r="778">
      <c r="B778" s="12"/>
      <c r="C778" s="13"/>
      <c r="G778" s="14"/>
      <c r="H778" s="15"/>
    </row>
    <row r="779">
      <c r="B779" s="12"/>
      <c r="C779" s="13"/>
      <c r="G779" s="14"/>
      <c r="H779" s="15"/>
    </row>
    <row r="780">
      <c r="B780" s="12"/>
      <c r="C780" s="13"/>
      <c r="G780" s="14"/>
      <c r="H780" s="15"/>
    </row>
    <row r="781">
      <c r="B781" s="12"/>
      <c r="C781" s="13"/>
      <c r="G781" s="14"/>
      <c r="H781" s="15"/>
    </row>
    <row r="782">
      <c r="B782" s="12"/>
      <c r="C782" s="13"/>
      <c r="G782" s="14"/>
      <c r="H782" s="15"/>
    </row>
    <row r="783">
      <c r="B783" s="12"/>
      <c r="C783" s="13"/>
      <c r="G783" s="14"/>
      <c r="H783" s="15"/>
    </row>
    <row r="784">
      <c r="B784" s="12"/>
      <c r="C784" s="13"/>
      <c r="G784" s="14"/>
      <c r="H784" s="15"/>
    </row>
    <row r="785">
      <c r="B785" s="12"/>
      <c r="C785" s="13"/>
      <c r="G785" s="14"/>
      <c r="H785" s="15"/>
    </row>
    <row r="786">
      <c r="B786" s="12"/>
      <c r="C786" s="13"/>
      <c r="G786" s="14"/>
      <c r="H786" s="15"/>
    </row>
    <row r="787">
      <c r="B787" s="12"/>
      <c r="C787" s="13"/>
      <c r="G787" s="14"/>
      <c r="H787" s="15"/>
    </row>
    <row r="788">
      <c r="B788" s="12"/>
      <c r="C788" s="13"/>
      <c r="G788" s="14"/>
      <c r="H788" s="15"/>
    </row>
    <row r="789">
      <c r="B789" s="12"/>
      <c r="C789" s="13"/>
      <c r="G789" s="14"/>
      <c r="H789" s="15"/>
    </row>
    <row r="790">
      <c r="B790" s="12"/>
      <c r="C790" s="13"/>
      <c r="G790" s="14"/>
      <c r="H790" s="15"/>
    </row>
    <row r="791">
      <c r="B791" s="12"/>
      <c r="C791" s="13"/>
      <c r="G791" s="14"/>
      <c r="H791" s="15"/>
    </row>
    <row r="792">
      <c r="B792" s="12"/>
      <c r="C792" s="13"/>
      <c r="G792" s="14"/>
      <c r="H792" s="15"/>
    </row>
    <row r="793">
      <c r="B793" s="12"/>
      <c r="C793" s="13"/>
      <c r="G793" s="14"/>
      <c r="H793" s="15"/>
    </row>
    <row r="794">
      <c r="B794" s="12"/>
      <c r="C794" s="13"/>
      <c r="G794" s="14"/>
      <c r="H794" s="15"/>
    </row>
    <row r="795">
      <c r="B795" s="12"/>
      <c r="C795" s="13"/>
      <c r="G795" s="14"/>
      <c r="H795" s="15"/>
    </row>
    <row r="796">
      <c r="B796" s="12"/>
      <c r="C796" s="13"/>
      <c r="G796" s="14"/>
      <c r="H796" s="15"/>
    </row>
    <row r="797">
      <c r="B797" s="12"/>
      <c r="C797" s="13"/>
      <c r="G797" s="14"/>
      <c r="H797" s="15"/>
    </row>
    <row r="798">
      <c r="B798" s="12"/>
      <c r="C798" s="13"/>
      <c r="G798" s="14"/>
      <c r="H798" s="15"/>
    </row>
    <row r="799">
      <c r="B799" s="12"/>
      <c r="C799" s="13"/>
      <c r="G799" s="14"/>
      <c r="H799" s="15"/>
    </row>
    <row r="800">
      <c r="B800" s="12"/>
      <c r="C800" s="13"/>
      <c r="G800" s="14"/>
      <c r="H800" s="15"/>
    </row>
    <row r="801">
      <c r="B801" s="12"/>
      <c r="C801" s="13"/>
      <c r="G801" s="14"/>
      <c r="H801" s="15"/>
    </row>
    <row r="802">
      <c r="B802" s="12"/>
      <c r="C802" s="13"/>
      <c r="G802" s="14"/>
      <c r="H802" s="15"/>
    </row>
    <row r="803">
      <c r="B803" s="12"/>
      <c r="C803" s="13"/>
      <c r="G803" s="14"/>
      <c r="H803" s="15"/>
    </row>
    <row r="804">
      <c r="B804" s="12"/>
      <c r="C804" s="13"/>
      <c r="G804" s="14"/>
      <c r="H804" s="15"/>
    </row>
    <row r="805">
      <c r="B805" s="12"/>
      <c r="C805" s="13"/>
      <c r="G805" s="14"/>
      <c r="H805" s="15"/>
    </row>
    <row r="806">
      <c r="B806" s="12"/>
      <c r="C806" s="13"/>
      <c r="G806" s="14"/>
      <c r="H806" s="15"/>
    </row>
    <row r="807">
      <c r="B807" s="12"/>
      <c r="C807" s="13"/>
      <c r="G807" s="14"/>
      <c r="H807" s="15"/>
    </row>
    <row r="808">
      <c r="B808" s="12"/>
      <c r="C808" s="13"/>
      <c r="G808" s="14"/>
      <c r="H808" s="15"/>
    </row>
    <row r="809">
      <c r="B809" s="12"/>
      <c r="C809" s="13"/>
      <c r="G809" s="14"/>
      <c r="H809" s="15"/>
    </row>
    <row r="810">
      <c r="B810" s="12"/>
      <c r="C810" s="13"/>
      <c r="G810" s="14"/>
      <c r="H810" s="15"/>
    </row>
    <row r="811">
      <c r="B811" s="12"/>
      <c r="C811" s="13"/>
      <c r="G811" s="14"/>
      <c r="H811" s="15"/>
    </row>
    <row r="812">
      <c r="B812" s="12"/>
      <c r="C812" s="13"/>
      <c r="G812" s="14"/>
      <c r="H812" s="15"/>
    </row>
    <row r="813">
      <c r="B813" s="12"/>
      <c r="C813" s="13"/>
      <c r="G813" s="14"/>
      <c r="H813" s="15"/>
    </row>
    <row r="814">
      <c r="B814" s="12"/>
      <c r="C814" s="13"/>
      <c r="G814" s="14"/>
      <c r="H814" s="15"/>
    </row>
    <row r="815">
      <c r="B815" s="12"/>
      <c r="C815" s="13"/>
      <c r="G815" s="14"/>
      <c r="H815" s="15"/>
    </row>
    <row r="816">
      <c r="B816" s="12"/>
      <c r="C816" s="13"/>
      <c r="G816" s="14"/>
      <c r="H816" s="15"/>
    </row>
    <row r="817">
      <c r="B817" s="12"/>
      <c r="C817" s="13"/>
      <c r="G817" s="14"/>
      <c r="H817" s="15"/>
    </row>
    <row r="818">
      <c r="B818" s="12"/>
      <c r="C818" s="13"/>
      <c r="G818" s="14"/>
      <c r="H818" s="15"/>
    </row>
    <row r="819">
      <c r="B819" s="12"/>
      <c r="C819" s="13"/>
      <c r="G819" s="14"/>
      <c r="H819" s="15"/>
    </row>
    <row r="820">
      <c r="B820" s="12"/>
      <c r="C820" s="13"/>
      <c r="G820" s="14"/>
      <c r="H820" s="15"/>
    </row>
    <row r="821">
      <c r="B821" s="12"/>
      <c r="C821" s="13"/>
      <c r="G821" s="14"/>
      <c r="H821" s="15"/>
    </row>
    <row r="822">
      <c r="B822" s="12"/>
      <c r="C822" s="13"/>
      <c r="G822" s="14"/>
      <c r="H822" s="15"/>
    </row>
    <row r="823">
      <c r="B823" s="12"/>
      <c r="C823" s="13"/>
      <c r="G823" s="14"/>
      <c r="H823" s="15"/>
    </row>
    <row r="824">
      <c r="B824" s="12"/>
      <c r="C824" s="13"/>
      <c r="G824" s="14"/>
      <c r="H824" s="15"/>
    </row>
    <row r="825">
      <c r="B825" s="12"/>
      <c r="C825" s="13"/>
      <c r="G825" s="14"/>
      <c r="H825" s="15"/>
    </row>
    <row r="826">
      <c r="B826" s="12"/>
      <c r="C826" s="13"/>
      <c r="G826" s="14"/>
      <c r="H826" s="15"/>
    </row>
    <row r="827">
      <c r="B827" s="12"/>
      <c r="C827" s="13"/>
      <c r="G827" s="14"/>
      <c r="H827" s="15"/>
    </row>
    <row r="828">
      <c r="B828" s="12"/>
      <c r="C828" s="13"/>
      <c r="G828" s="14"/>
      <c r="H828" s="15"/>
    </row>
    <row r="829">
      <c r="B829" s="12"/>
      <c r="C829" s="13"/>
      <c r="G829" s="14"/>
      <c r="H829" s="15"/>
    </row>
    <row r="830">
      <c r="B830" s="12"/>
      <c r="C830" s="13"/>
      <c r="G830" s="14"/>
      <c r="H830" s="15"/>
    </row>
    <row r="831">
      <c r="B831" s="12"/>
      <c r="C831" s="13"/>
      <c r="G831" s="14"/>
      <c r="H831" s="15"/>
    </row>
    <row r="832">
      <c r="B832" s="12"/>
      <c r="C832" s="13"/>
      <c r="G832" s="14"/>
      <c r="H832" s="15"/>
    </row>
    <row r="833">
      <c r="B833" s="12"/>
      <c r="C833" s="13"/>
      <c r="G833" s="14"/>
      <c r="H833" s="15"/>
    </row>
    <row r="834">
      <c r="B834" s="12"/>
      <c r="C834" s="13"/>
      <c r="G834" s="14"/>
      <c r="H834" s="15"/>
    </row>
    <row r="835">
      <c r="B835" s="12"/>
      <c r="C835" s="13"/>
      <c r="G835" s="14"/>
      <c r="H835" s="15"/>
    </row>
    <row r="836">
      <c r="B836" s="12"/>
      <c r="C836" s="13"/>
      <c r="G836" s="14"/>
      <c r="H836" s="15"/>
    </row>
    <row r="837">
      <c r="B837" s="12"/>
      <c r="C837" s="13"/>
      <c r="G837" s="14"/>
      <c r="H837" s="15"/>
    </row>
    <row r="838">
      <c r="B838" s="12"/>
      <c r="C838" s="13"/>
      <c r="G838" s="14"/>
      <c r="H838" s="15"/>
    </row>
    <row r="839">
      <c r="B839" s="12"/>
      <c r="C839" s="13"/>
      <c r="G839" s="14"/>
      <c r="H839" s="15"/>
    </row>
    <row r="840">
      <c r="B840" s="12"/>
      <c r="C840" s="13"/>
      <c r="G840" s="14"/>
      <c r="H840" s="15"/>
    </row>
    <row r="841">
      <c r="B841" s="12"/>
      <c r="C841" s="13"/>
      <c r="G841" s="14"/>
      <c r="H841" s="15"/>
    </row>
    <row r="842">
      <c r="B842" s="12"/>
      <c r="C842" s="13"/>
      <c r="G842" s="14"/>
      <c r="H842" s="15"/>
    </row>
    <row r="843">
      <c r="B843" s="12"/>
      <c r="C843" s="13"/>
      <c r="G843" s="14"/>
      <c r="H843" s="15"/>
    </row>
    <row r="844">
      <c r="B844" s="12"/>
      <c r="C844" s="13"/>
      <c r="G844" s="14"/>
      <c r="H844" s="15"/>
    </row>
    <row r="845">
      <c r="B845" s="12"/>
      <c r="C845" s="13"/>
      <c r="G845" s="14"/>
      <c r="H845" s="15"/>
    </row>
    <row r="846">
      <c r="B846" s="12"/>
      <c r="C846" s="13"/>
      <c r="G846" s="14"/>
      <c r="H846" s="15"/>
    </row>
    <row r="847">
      <c r="B847" s="12"/>
      <c r="C847" s="13"/>
      <c r="G847" s="14"/>
      <c r="H847" s="15"/>
    </row>
    <row r="848">
      <c r="B848" s="12"/>
      <c r="C848" s="13"/>
      <c r="G848" s="14"/>
      <c r="H848" s="15"/>
    </row>
    <row r="849">
      <c r="B849" s="12"/>
      <c r="C849" s="13"/>
      <c r="G849" s="14"/>
      <c r="H849" s="15"/>
    </row>
    <row r="850">
      <c r="B850" s="12"/>
      <c r="C850" s="13"/>
      <c r="G850" s="14"/>
      <c r="H850" s="15"/>
    </row>
    <row r="851">
      <c r="B851" s="12"/>
      <c r="C851" s="13"/>
      <c r="G851" s="14"/>
      <c r="H851" s="15"/>
    </row>
    <row r="852">
      <c r="B852" s="12"/>
      <c r="C852" s="13"/>
      <c r="G852" s="14"/>
      <c r="H852" s="15"/>
    </row>
    <row r="853">
      <c r="B853" s="12"/>
      <c r="C853" s="13"/>
      <c r="G853" s="14"/>
      <c r="H853" s="15"/>
    </row>
    <row r="854">
      <c r="B854" s="12"/>
      <c r="C854" s="13"/>
      <c r="G854" s="14"/>
      <c r="H854" s="15"/>
    </row>
    <row r="855">
      <c r="B855" s="12"/>
      <c r="C855" s="13"/>
      <c r="G855" s="14"/>
      <c r="H855" s="15"/>
    </row>
    <row r="856">
      <c r="B856" s="12"/>
      <c r="C856" s="13"/>
      <c r="G856" s="14"/>
      <c r="H856" s="15"/>
    </row>
    <row r="857">
      <c r="B857" s="12"/>
      <c r="C857" s="13"/>
      <c r="G857" s="14"/>
      <c r="H857" s="15"/>
    </row>
    <row r="858">
      <c r="B858" s="12"/>
      <c r="C858" s="13"/>
      <c r="G858" s="14"/>
      <c r="H858" s="15"/>
    </row>
    <row r="859">
      <c r="B859" s="12"/>
      <c r="C859" s="13"/>
      <c r="G859" s="14"/>
      <c r="H859" s="15"/>
    </row>
    <row r="860">
      <c r="B860" s="12"/>
      <c r="C860" s="13"/>
      <c r="G860" s="14"/>
      <c r="H860" s="15"/>
    </row>
    <row r="861">
      <c r="B861" s="12"/>
      <c r="C861" s="13"/>
      <c r="G861" s="14"/>
      <c r="H861" s="15"/>
    </row>
    <row r="862">
      <c r="B862" s="12"/>
      <c r="C862" s="13"/>
      <c r="G862" s="14"/>
      <c r="H862" s="15"/>
    </row>
    <row r="863">
      <c r="B863" s="12"/>
      <c r="C863" s="13"/>
      <c r="G863" s="14"/>
      <c r="H863" s="15"/>
    </row>
    <row r="864">
      <c r="B864" s="12"/>
      <c r="C864" s="13"/>
      <c r="G864" s="14"/>
      <c r="H864" s="15"/>
    </row>
    <row r="865">
      <c r="B865" s="12"/>
      <c r="C865" s="13"/>
      <c r="G865" s="14"/>
      <c r="H865" s="15"/>
    </row>
    <row r="866">
      <c r="B866" s="12"/>
      <c r="C866" s="13"/>
      <c r="G866" s="14"/>
      <c r="H866" s="15"/>
    </row>
    <row r="867">
      <c r="B867" s="12"/>
      <c r="C867" s="13"/>
      <c r="G867" s="14"/>
      <c r="H867" s="15"/>
    </row>
    <row r="868">
      <c r="B868" s="12"/>
      <c r="C868" s="13"/>
      <c r="G868" s="14"/>
      <c r="H868" s="15"/>
    </row>
    <row r="869">
      <c r="B869" s="12"/>
      <c r="C869" s="13"/>
      <c r="G869" s="14"/>
      <c r="H869" s="15"/>
    </row>
    <row r="870">
      <c r="B870" s="12"/>
      <c r="C870" s="13"/>
      <c r="G870" s="14"/>
      <c r="H870" s="15"/>
    </row>
    <row r="871">
      <c r="B871" s="12"/>
      <c r="C871" s="13"/>
      <c r="G871" s="14"/>
      <c r="H871" s="15"/>
    </row>
    <row r="872">
      <c r="B872" s="12"/>
      <c r="C872" s="13"/>
      <c r="G872" s="14"/>
      <c r="H872" s="15"/>
    </row>
    <row r="873">
      <c r="B873" s="12"/>
      <c r="C873" s="13"/>
      <c r="G873" s="14"/>
      <c r="H873" s="15"/>
    </row>
    <row r="874">
      <c r="B874" s="12"/>
      <c r="C874" s="13"/>
      <c r="G874" s="14"/>
      <c r="H874" s="15"/>
    </row>
    <row r="875">
      <c r="B875" s="12"/>
      <c r="C875" s="13"/>
      <c r="G875" s="14"/>
      <c r="H875" s="15"/>
    </row>
    <row r="876">
      <c r="B876" s="12"/>
      <c r="C876" s="13"/>
      <c r="G876" s="14"/>
      <c r="H876" s="15"/>
    </row>
    <row r="877">
      <c r="B877" s="12"/>
      <c r="C877" s="13"/>
      <c r="G877" s="14"/>
      <c r="H877" s="15"/>
    </row>
    <row r="878">
      <c r="B878" s="12"/>
      <c r="C878" s="13"/>
      <c r="G878" s="14"/>
      <c r="H878" s="15"/>
    </row>
    <row r="879">
      <c r="B879" s="12"/>
      <c r="C879" s="13"/>
      <c r="G879" s="14"/>
      <c r="H879" s="15"/>
    </row>
    <row r="880">
      <c r="B880" s="12"/>
      <c r="C880" s="13"/>
      <c r="G880" s="14"/>
      <c r="H880" s="15"/>
    </row>
    <row r="881">
      <c r="B881" s="12"/>
      <c r="C881" s="13"/>
      <c r="G881" s="14"/>
      <c r="H881" s="15"/>
    </row>
    <row r="882">
      <c r="B882" s="12"/>
      <c r="C882" s="13"/>
      <c r="G882" s="14"/>
      <c r="H882" s="15"/>
    </row>
    <row r="883">
      <c r="B883" s="12"/>
      <c r="C883" s="13"/>
      <c r="G883" s="14"/>
      <c r="H883" s="15"/>
    </row>
    <row r="884">
      <c r="B884" s="12"/>
      <c r="C884" s="13"/>
      <c r="G884" s="14"/>
      <c r="H884" s="15"/>
    </row>
    <row r="885">
      <c r="B885" s="12"/>
      <c r="C885" s="13"/>
      <c r="G885" s="14"/>
      <c r="H885" s="15"/>
    </row>
    <row r="886">
      <c r="B886" s="12"/>
      <c r="C886" s="13"/>
      <c r="G886" s="14"/>
      <c r="H886" s="15"/>
    </row>
    <row r="887">
      <c r="B887" s="12"/>
      <c r="C887" s="13"/>
      <c r="G887" s="14"/>
      <c r="H887" s="15"/>
    </row>
    <row r="888">
      <c r="B888" s="12"/>
      <c r="C888" s="13"/>
      <c r="G888" s="14"/>
      <c r="H888" s="15"/>
    </row>
    <row r="889">
      <c r="B889" s="12"/>
      <c r="C889" s="13"/>
      <c r="G889" s="14"/>
      <c r="H889" s="15"/>
    </row>
    <row r="890">
      <c r="B890" s="12"/>
      <c r="C890" s="13"/>
      <c r="G890" s="14"/>
      <c r="H890" s="15"/>
    </row>
    <row r="891">
      <c r="B891" s="12"/>
      <c r="C891" s="13"/>
      <c r="G891" s="14"/>
      <c r="H891" s="15"/>
    </row>
    <row r="892">
      <c r="B892" s="12"/>
      <c r="C892" s="13"/>
      <c r="G892" s="14"/>
      <c r="H892" s="15"/>
    </row>
    <row r="893">
      <c r="B893" s="12"/>
      <c r="C893" s="13"/>
      <c r="G893" s="14"/>
      <c r="H893" s="15"/>
    </row>
    <row r="894">
      <c r="B894" s="12"/>
      <c r="C894" s="13"/>
      <c r="G894" s="14"/>
      <c r="H894" s="15"/>
    </row>
    <row r="895">
      <c r="B895" s="12"/>
      <c r="C895" s="13"/>
      <c r="G895" s="14"/>
      <c r="H895" s="15"/>
    </row>
    <row r="896">
      <c r="B896" s="12"/>
      <c r="C896" s="13"/>
      <c r="G896" s="14"/>
      <c r="H896" s="15"/>
    </row>
    <row r="897">
      <c r="B897" s="12"/>
      <c r="C897" s="13"/>
      <c r="G897" s="14"/>
      <c r="H897" s="15"/>
    </row>
    <row r="898">
      <c r="B898" s="12"/>
      <c r="C898" s="13"/>
      <c r="G898" s="14"/>
      <c r="H898" s="15"/>
    </row>
    <row r="899">
      <c r="B899" s="12"/>
      <c r="C899" s="13"/>
      <c r="G899" s="14"/>
      <c r="H899" s="15"/>
    </row>
    <row r="900">
      <c r="B900" s="12"/>
      <c r="C900" s="13"/>
      <c r="G900" s="14"/>
      <c r="H900" s="15"/>
    </row>
    <row r="901">
      <c r="B901" s="12"/>
      <c r="C901" s="13"/>
      <c r="G901" s="14"/>
      <c r="H901" s="15"/>
    </row>
    <row r="902">
      <c r="B902" s="12"/>
      <c r="C902" s="13"/>
      <c r="G902" s="14"/>
      <c r="H902" s="15"/>
    </row>
    <row r="903">
      <c r="B903" s="12"/>
      <c r="C903" s="13"/>
      <c r="G903" s="14"/>
      <c r="H903" s="15"/>
    </row>
    <row r="904">
      <c r="B904" s="12"/>
      <c r="C904" s="13"/>
      <c r="G904" s="14"/>
      <c r="H904" s="15"/>
    </row>
    <row r="905">
      <c r="B905" s="12"/>
      <c r="C905" s="13"/>
      <c r="G905" s="14"/>
      <c r="H905" s="15"/>
    </row>
    <row r="906">
      <c r="B906" s="12"/>
      <c r="C906" s="13"/>
      <c r="G906" s="14"/>
      <c r="H906" s="15"/>
    </row>
    <row r="907">
      <c r="B907" s="12"/>
      <c r="C907" s="13"/>
      <c r="G907" s="14"/>
      <c r="H907" s="15"/>
    </row>
    <row r="908">
      <c r="B908" s="12"/>
      <c r="C908" s="13"/>
      <c r="G908" s="14"/>
      <c r="H908" s="15"/>
    </row>
    <row r="909">
      <c r="B909" s="12"/>
      <c r="C909" s="13"/>
      <c r="G909" s="14"/>
      <c r="H909" s="15"/>
    </row>
    <row r="910">
      <c r="B910" s="12"/>
      <c r="C910" s="13"/>
      <c r="G910" s="14"/>
      <c r="H910" s="15"/>
    </row>
    <row r="911">
      <c r="B911" s="12"/>
      <c r="C911" s="13"/>
      <c r="G911" s="14"/>
      <c r="H911" s="15"/>
    </row>
    <row r="912">
      <c r="B912" s="12"/>
      <c r="C912" s="13"/>
      <c r="G912" s="14"/>
      <c r="H912" s="15"/>
    </row>
    <row r="913">
      <c r="B913" s="12"/>
      <c r="C913" s="13"/>
      <c r="G913" s="14"/>
      <c r="H913" s="15"/>
    </row>
    <row r="914">
      <c r="B914" s="12"/>
      <c r="C914" s="13"/>
      <c r="G914" s="14"/>
      <c r="H914" s="15"/>
    </row>
    <row r="915">
      <c r="B915" s="12"/>
      <c r="C915" s="13"/>
      <c r="G915" s="14"/>
      <c r="H915" s="15"/>
    </row>
    <row r="916">
      <c r="B916" s="12"/>
      <c r="C916" s="13"/>
      <c r="G916" s="14"/>
      <c r="H916" s="15"/>
    </row>
    <row r="917">
      <c r="B917" s="12"/>
      <c r="C917" s="13"/>
      <c r="G917" s="14"/>
      <c r="H917" s="15"/>
    </row>
    <row r="918">
      <c r="B918" s="12"/>
      <c r="C918" s="13"/>
      <c r="G918" s="14"/>
      <c r="H918" s="15"/>
    </row>
    <row r="919">
      <c r="B919" s="12"/>
      <c r="C919" s="13"/>
      <c r="G919" s="14"/>
      <c r="H919" s="15"/>
    </row>
    <row r="920">
      <c r="B920" s="12"/>
      <c r="C920" s="13"/>
      <c r="G920" s="14"/>
      <c r="H920" s="15"/>
    </row>
    <row r="921">
      <c r="B921" s="12"/>
      <c r="C921" s="13"/>
      <c r="G921" s="14"/>
      <c r="H921" s="15"/>
    </row>
    <row r="922">
      <c r="B922" s="12"/>
      <c r="C922" s="13"/>
      <c r="G922" s="14"/>
      <c r="H922" s="15"/>
    </row>
    <row r="923">
      <c r="B923" s="12"/>
      <c r="C923" s="13"/>
      <c r="G923" s="14"/>
      <c r="H923" s="15"/>
    </row>
    <row r="924">
      <c r="B924" s="12"/>
      <c r="C924" s="13"/>
      <c r="G924" s="14"/>
      <c r="H924" s="15"/>
    </row>
    <row r="925">
      <c r="B925" s="12"/>
      <c r="C925" s="13"/>
      <c r="G925" s="14"/>
      <c r="H925" s="15"/>
    </row>
    <row r="926">
      <c r="B926" s="12"/>
      <c r="C926" s="13"/>
      <c r="G926" s="14"/>
      <c r="H926" s="15"/>
    </row>
    <row r="927">
      <c r="B927" s="12"/>
      <c r="C927" s="13"/>
      <c r="G927" s="14"/>
      <c r="H927" s="15"/>
    </row>
    <row r="928">
      <c r="B928" s="12"/>
      <c r="C928" s="13"/>
      <c r="G928" s="14"/>
      <c r="H928" s="15"/>
    </row>
    <row r="929">
      <c r="B929" s="12"/>
      <c r="C929" s="13"/>
      <c r="G929" s="14"/>
      <c r="H929" s="15"/>
    </row>
    <row r="930">
      <c r="B930" s="12"/>
      <c r="C930" s="13"/>
      <c r="G930" s="14"/>
      <c r="H930" s="15"/>
    </row>
    <row r="931">
      <c r="B931" s="12"/>
      <c r="C931" s="13"/>
      <c r="G931" s="14"/>
      <c r="H931" s="15"/>
    </row>
    <row r="932">
      <c r="B932" s="12"/>
      <c r="C932" s="13"/>
      <c r="G932" s="14"/>
      <c r="H932" s="15"/>
    </row>
    <row r="933">
      <c r="B933" s="12"/>
      <c r="C933" s="13"/>
      <c r="G933" s="14"/>
      <c r="H933" s="15"/>
    </row>
    <row r="934">
      <c r="B934" s="12"/>
      <c r="C934" s="13"/>
      <c r="G934" s="14"/>
      <c r="H934" s="15"/>
    </row>
    <row r="935">
      <c r="B935" s="12"/>
      <c r="C935" s="13"/>
      <c r="G935" s="14"/>
      <c r="H935" s="15"/>
    </row>
    <row r="936">
      <c r="B936" s="12"/>
      <c r="C936" s="13"/>
      <c r="G936" s="14"/>
      <c r="H936" s="15"/>
    </row>
    <row r="937">
      <c r="B937" s="12"/>
      <c r="C937" s="13"/>
      <c r="G937" s="14"/>
      <c r="H937" s="15"/>
    </row>
    <row r="938">
      <c r="B938" s="12"/>
      <c r="C938" s="13"/>
      <c r="G938" s="14"/>
      <c r="H938" s="15"/>
    </row>
    <row r="939">
      <c r="B939" s="12"/>
      <c r="C939" s="13"/>
      <c r="G939" s="14"/>
      <c r="H939" s="15"/>
    </row>
    <row r="940">
      <c r="B940" s="12"/>
      <c r="C940" s="13"/>
      <c r="G940" s="14"/>
      <c r="H940" s="15"/>
    </row>
    <row r="941">
      <c r="B941" s="12"/>
      <c r="C941" s="13"/>
      <c r="G941" s="14"/>
      <c r="H941" s="15"/>
    </row>
    <row r="942">
      <c r="B942" s="12"/>
      <c r="C942" s="13"/>
      <c r="G942" s="14"/>
      <c r="H942" s="15"/>
    </row>
    <row r="943">
      <c r="B943" s="12"/>
      <c r="C943" s="13"/>
      <c r="G943" s="14"/>
      <c r="H943" s="15"/>
    </row>
    <row r="944">
      <c r="B944" s="12"/>
      <c r="C944" s="13"/>
      <c r="G944" s="14"/>
      <c r="H944" s="15"/>
    </row>
    <row r="945">
      <c r="B945" s="12"/>
      <c r="C945" s="13"/>
      <c r="G945" s="14"/>
      <c r="H945" s="15"/>
    </row>
    <row r="946">
      <c r="B946" s="12"/>
      <c r="C946" s="13"/>
      <c r="G946" s="14"/>
      <c r="H946" s="15"/>
    </row>
    <row r="947">
      <c r="B947" s="12"/>
      <c r="C947" s="13"/>
      <c r="G947" s="14"/>
      <c r="H947" s="15"/>
    </row>
    <row r="948">
      <c r="B948" s="12"/>
      <c r="C948" s="13"/>
      <c r="G948" s="14"/>
      <c r="H948" s="15"/>
    </row>
    <row r="949">
      <c r="B949" s="12"/>
      <c r="C949" s="13"/>
      <c r="G949" s="14"/>
      <c r="H949" s="15"/>
    </row>
    <row r="950">
      <c r="B950" s="12"/>
      <c r="C950" s="13"/>
      <c r="G950" s="14"/>
      <c r="H950" s="15"/>
    </row>
    <row r="951">
      <c r="B951" s="12"/>
      <c r="C951" s="13"/>
      <c r="G951" s="14"/>
      <c r="H951" s="15"/>
    </row>
    <row r="952">
      <c r="B952" s="12"/>
      <c r="C952" s="13"/>
      <c r="G952" s="14"/>
      <c r="H952" s="15"/>
    </row>
    <row r="953">
      <c r="B953" s="12"/>
      <c r="C953" s="13"/>
      <c r="G953" s="14"/>
      <c r="H953" s="15"/>
    </row>
    <row r="954">
      <c r="B954" s="12"/>
      <c r="C954" s="13"/>
      <c r="G954" s="14"/>
      <c r="H954" s="15"/>
    </row>
    <row r="955">
      <c r="B955" s="12"/>
      <c r="C955" s="13"/>
      <c r="G955" s="14"/>
      <c r="H955" s="15"/>
    </row>
    <row r="956">
      <c r="B956" s="12"/>
      <c r="C956" s="13"/>
      <c r="G956" s="14"/>
      <c r="H956" s="15"/>
    </row>
    <row r="957">
      <c r="B957" s="12"/>
      <c r="C957" s="13"/>
      <c r="G957" s="14"/>
      <c r="H957" s="15"/>
    </row>
    <row r="958">
      <c r="B958" s="12"/>
      <c r="C958" s="13"/>
      <c r="G958" s="14"/>
      <c r="H958" s="15"/>
    </row>
    <row r="959">
      <c r="B959" s="12"/>
      <c r="C959" s="13"/>
      <c r="G959" s="14"/>
      <c r="H959" s="15"/>
    </row>
    <row r="960">
      <c r="B960" s="12"/>
      <c r="C960" s="13"/>
      <c r="G960" s="14"/>
      <c r="H960" s="15"/>
    </row>
    <row r="961">
      <c r="B961" s="12"/>
      <c r="C961" s="13"/>
      <c r="G961" s="14"/>
      <c r="H961" s="15"/>
    </row>
    <row r="962">
      <c r="B962" s="12"/>
      <c r="C962" s="13"/>
      <c r="G962" s="14"/>
      <c r="H962" s="15"/>
    </row>
    <row r="963">
      <c r="B963" s="12"/>
      <c r="C963" s="13"/>
      <c r="G963" s="14"/>
      <c r="H963" s="15"/>
    </row>
    <row r="964">
      <c r="B964" s="12"/>
      <c r="C964" s="13"/>
      <c r="G964" s="14"/>
      <c r="H964" s="15"/>
    </row>
    <row r="965">
      <c r="B965" s="12"/>
      <c r="C965" s="13"/>
      <c r="G965" s="14"/>
      <c r="H965" s="15"/>
    </row>
    <row r="966">
      <c r="B966" s="12"/>
      <c r="C966" s="13"/>
      <c r="G966" s="14"/>
      <c r="H966" s="15"/>
    </row>
    <row r="967">
      <c r="B967" s="12"/>
      <c r="C967" s="13"/>
      <c r="G967" s="14"/>
      <c r="H967" s="15"/>
    </row>
    <row r="968">
      <c r="B968" s="12"/>
      <c r="C968" s="13"/>
      <c r="G968" s="14"/>
      <c r="H968" s="15"/>
    </row>
    <row r="969">
      <c r="B969" s="12"/>
      <c r="C969" s="13"/>
      <c r="G969" s="14"/>
      <c r="H969" s="15"/>
    </row>
    <row r="970">
      <c r="B970" s="12"/>
      <c r="C970" s="13"/>
      <c r="G970" s="14"/>
      <c r="H970" s="15"/>
    </row>
    <row r="971">
      <c r="B971" s="12"/>
      <c r="C971" s="13"/>
      <c r="G971" s="14"/>
      <c r="H971" s="15"/>
    </row>
    <row r="972">
      <c r="B972" s="12"/>
      <c r="C972" s="13"/>
      <c r="G972" s="14"/>
      <c r="H972" s="15"/>
    </row>
    <row r="973">
      <c r="B973" s="12"/>
      <c r="C973" s="13"/>
      <c r="G973" s="14"/>
      <c r="H973" s="15"/>
    </row>
    <row r="974">
      <c r="B974" s="12"/>
      <c r="C974" s="13"/>
      <c r="G974" s="14"/>
      <c r="H974" s="15"/>
    </row>
    <row r="975">
      <c r="B975" s="12"/>
      <c r="C975" s="13"/>
      <c r="G975" s="14"/>
      <c r="H975" s="15"/>
    </row>
    <row r="976">
      <c r="B976" s="12"/>
      <c r="C976" s="13"/>
      <c r="G976" s="14"/>
      <c r="H976" s="15"/>
    </row>
    <row r="977">
      <c r="B977" s="12"/>
      <c r="C977" s="13"/>
      <c r="G977" s="14"/>
      <c r="H977" s="15"/>
    </row>
    <row r="978">
      <c r="B978" s="12"/>
      <c r="C978" s="13"/>
      <c r="G978" s="14"/>
      <c r="H978" s="15"/>
    </row>
    <row r="979">
      <c r="B979" s="12"/>
      <c r="C979" s="13"/>
      <c r="G979" s="14"/>
      <c r="H979" s="15"/>
    </row>
    <row r="980">
      <c r="B980" s="12"/>
      <c r="C980" s="13"/>
      <c r="G980" s="14"/>
      <c r="H980" s="15"/>
    </row>
    <row r="981">
      <c r="B981" s="12"/>
      <c r="C981" s="13"/>
      <c r="G981" s="14"/>
      <c r="H981" s="15"/>
    </row>
    <row r="982">
      <c r="B982" s="12"/>
      <c r="C982" s="13"/>
      <c r="G982" s="14"/>
      <c r="H982" s="15"/>
    </row>
    <row r="983">
      <c r="B983" s="12"/>
      <c r="C983" s="13"/>
      <c r="G983" s="14"/>
      <c r="H983" s="15"/>
    </row>
    <row r="984">
      <c r="B984" s="12"/>
      <c r="C984" s="13"/>
      <c r="G984" s="14"/>
      <c r="H984" s="15"/>
    </row>
    <row r="985">
      <c r="B985" s="12"/>
      <c r="C985" s="13"/>
      <c r="G985" s="14"/>
      <c r="H985" s="15"/>
    </row>
    <row r="986">
      <c r="B986" s="12"/>
      <c r="C986" s="13"/>
      <c r="G986" s="14"/>
      <c r="H986" s="15"/>
    </row>
    <row r="987">
      <c r="B987" s="12"/>
      <c r="C987" s="13"/>
      <c r="G987" s="14"/>
      <c r="H987" s="15"/>
    </row>
    <row r="988">
      <c r="B988" s="12"/>
      <c r="C988" s="13"/>
      <c r="G988" s="14"/>
      <c r="H988" s="15"/>
    </row>
    <row r="989">
      <c r="B989" s="12"/>
      <c r="C989" s="13"/>
      <c r="G989" s="14"/>
      <c r="H989" s="15"/>
    </row>
    <row r="990">
      <c r="B990" s="12"/>
      <c r="C990" s="13"/>
      <c r="G990" s="14"/>
      <c r="H990" s="15"/>
    </row>
    <row r="991">
      <c r="B991" s="12"/>
      <c r="C991" s="13"/>
      <c r="G991" s="14"/>
      <c r="H991" s="15"/>
    </row>
    <row r="992">
      <c r="B992" s="12"/>
      <c r="C992" s="13"/>
      <c r="G992" s="14"/>
      <c r="H992" s="15"/>
    </row>
    <row r="993">
      <c r="B993" s="12"/>
      <c r="C993" s="13"/>
      <c r="G993" s="14"/>
      <c r="H993" s="15"/>
    </row>
    <row r="994">
      <c r="B994" s="12"/>
      <c r="C994" s="13"/>
      <c r="G994" s="14"/>
      <c r="H994" s="15"/>
    </row>
    <row r="995">
      <c r="B995" s="12"/>
      <c r="C995" s="13"/>
      <c r="G995" s="14"/>
      <c r="H995" s="15"/>
    </row>
    <row r="996">
      <c r="B996" s="12"/>
      <c r="C996" s="13"/>
      <c r="G996" s="14"/>
      <c r="H996" s="15"/>
    </row>
    <row r="997">
      <c r="B997" s="12"/>
      <c r="C997" s="13"/>
      <c r="G997" s="14"/>
      <c r="H997" s="15"/>
    </row>
    <row r="998">
      <c r="B998" s="12"/>
      <c r="C998" s="13"/>
      <c r="G998" s="14"/>
      <c r="H998" s="15"/>
    </row>
    <row r="999">
      <c r="B999" s="12"/>
      <c r="C999" s="13"/>
      <c r="G999" s="14"/>
      <c r="H999" s="15"/>
    </row>
    <row r="1000">
      <c r="B1000" s="12"/>
      <c r="C1000" s="13"/>
      <c r="G1000" s="14"/>
      <c r="H1000" s="1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1489</v>
      </c>
      <c r="B1" s="2" t="s">
        <v>1490</v>
      </c>
      <c r="C1" s="2" t="s">
        <v>1491</v>
      </c>
      <c r="D1" s="2" t="s">
        <v>1492</v>
      </c>
      <c r="E1" s="2" t="s">
        <v>1493</v>
      </c>
      <c r="F1" s="2" t="s">
        <v>1494</v>
      </c>
      <c r="G1" s="2" t="s">
        <v>1495</v>
      </c>
      <c r="H1" s="2" t="s">
        <v>1496</v>
      </c>
      <c r="I1" s="2" t="s">
        <v>1497</v>
      </c>
      <c r="J1" s="2" t="s">
        <v>1498</v>
      </c>
      <c r="K1" s="2" t="s">
        <v>1499</v>
      </c>
      <c r="L1" s="2" t="s">
        <v>1500</v>
      </c>
      <c r="M1" s="2" t="s">
        <v>1501</v>
      </c>
      <c r="N1" s="2" t="s">
        <v>1502</v>
      </c>
      <c r="O1" s="2" t="s">
        <v>1503</v>
      </c>
      <c r="P1" s="2" t="s">
        <v>1504</v>
      </c>
      <c r="Q1" s="2" t="s">
        <v>1505</v>
      </c>
      <c r="R1" s="2" t="s">
        <v>1506</v>
      </c>
      <c r="S1" s="2" t="s">
        <v>1507</v>
      </c>
    </row>
    <row r="2">
      <c r="A2" s="7">
        <f>SUMIFS(AP_Subledger!J:J, AP_Subledger!O:O, TRUE)
</f>
        <v>1134501.67</v>
      </c>
      <c r="B2" s="7" t="str">
        <f t="array" ref="B2">INDEX(GL_AP_Control!B:B, MATCH("2025-12", GL_AP_Control!A:A, 0))
</f>
        <v>1109192.51</v>
      </c>
      <c r="C2" s="7">
        <f>B2-A2</f>
        <v>-25309.16</v>
      </c>
      <c r="D2" s="7" t="str">
        <f>IF(COUNTIF(AP_Subledger!P:P, "Missing")&gt;0, "Missing Items", "OK")
</f>
        <v>OK</v>
      </c>
      <c r="E2" s="7">
        <f>SUMIFS(AP_Subledger!J:J, AP_Subledger!K:K, TRUE)
</f>
        <v>3900324.15</v>
      </c>
      <c r="F2" s="7">
        <f>SUM(Bank_Txns!E:E) * -1
</f>
        <v>4058113.54</v>
      </c>
      <c r="G2" s="7">
        <f>F2-E2</f>
        <v>157789.39</v>
      </c>
      <c r="H2" s="7">
        <f>COUNTIF(AP_Subledger!Q:Q, "Paid but No Bank Match")
</f>
        <v>265</v>
      </c>
      <c r="I2" s="7">
        <f>COUNTIF(Bank_Txns!J:J, "Duplicate Payment")
</f>
        <v>16</v>
      </c>
      <c r="J2" s="7">
        <f>SUM(Tax_Detail!E:E)
</f>
        <v>329408.99</v>
      </c>
      <c r="K2" s="7">
        <f t="array" ref="K2">XLOOKUP("2020-SalesUseTaxPayable",
         GL_Trial_Balance_Summary!A:A,
         GL_Trial_Balance_Summary!B:B)
</f>
        <v>14850</v>
      </c>
      <c r="L2" s="7">
        <f>K2-J2</f>
        <v>-314558.99</v>
      </c>
      <c r="M2" s="7">
        <f>SUM(Lease_Pivot!C5:C8)
</f>
        <v>462441.95</v>
      </c>
      <c r="N2" s="7">
        <f>SUM(Lease_Pivot!D5:D8)
</f>
        <v>462441.95</v>
      </c>
      <c r="O2" s="7">
        <f t="array" ref="O2">XLOOKUP("2500-LeaseLiability", GL_Trial_Balance_Summary!A:A, GL_Trial_Balance_Summary!B:B)
</f>
        <v>420000</v>
      </c>
      <c r="P2" s="7">
        <f t="array" ref="P2">XLOOKUP("1800-ROUAsset", GL_Trial_Balance_Summary!A:A, GL_Trial_Balance_Summary!B:B)
</f>
        <v>395000</v>
      </c>
      <c r="Q2" s="7">
        <f t="shared" ref="Q2:R2" si="1">O2-M2</f>
        <v>-42441.95</v>
      </c>
      <c r="R2" s="7">
        <f t="shared" si="1"/>
        <v>-67441.95</v>
      </c>
      <c r="S2" s="7">
        <f>COUNTIF(Lease_Schedule!L:L, "Sequence Error")
</f>
        <v>6</v>
      </c>
    </row>
  </sheetData>
  <drawing r:id="rId1"/>
</worksheet>
</file>